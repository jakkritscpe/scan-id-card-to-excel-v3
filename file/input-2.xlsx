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workscpace\scan-id-card-to-excel-v3\file\"/>
    </mc:Choice>
  </mc:AlternateContent>
  <xr:revisionPtr revIDLastSave="0" documentId="8_{97C4E663-DB0E-485C-8B7D-94CB169CF7A6}" xr6:coauthVersionLast="47" xr6:coauthVersionMax="47" xr10:uidLastSave="{00000000-0000-0000-0000-000000000000}"/>
  <bookViews>
    <workbookView xWindow="-120" yWindow="-120" windowWidth="29040" windowHeight="15990" tabRatio="776" activeTab="1" xr2:uid="{00000000-000D-0000-FFFF-FFFF00000000}"/>
  </bookViews>
  <sheets>
    <sheet name="Data_CN" sheetId="17" r:id="rId1"/>
    <sheet name="Cus" sheetId="12" r:id="rId2"/>
    <sheet name="Bill" sheetId="16" r:id="rId3"/>
    <sheet name="Data" sheetId="1" r:id="rId4"/>
    <sheet name="ProductMaster" sheetId="4" r:id="rId5"/>
    <sheet name="OtherMaster" sheetId="9" state="hidden" r:id="rId6"/>
  </sheets>
  <externalReferences>
    <externalReference r:id="rId7"/>
  </externalReferences>
  <definedNames>
    <definedName name="_xlnm._FilterDatabase" localSheetId="3" hidden="1">Data!$A$1:$BM$500</definedName>
    <definedName name="_xlnm._FilterDatabase" localSheetId="0" hidden="1">Data_CN!$A$1:$BM$500</definedName>
    <definedName name="_xlnm._FilterDatabase" localSheetId="4" hidden="1">ProductMaster!$J$1:$L$375</definedName>
    <definedName name="_xlnm.Print_Area" localSheetId="2">Bill!$A$1:$I$74</definedName>
    <definedName name="ReceiveType" localSheetId="1">Cus!#REF!</definedName>
    <definedName name="ReceiveType">OtherMaster!$A$2:$A$7</definedName>
    <definedName name="User" localSheetId="1">Cus!#REF!</definedName>
    <definedName name="User">OtherMaster!$C$2:$C$5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9" i="1" l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399" i="4"/>
  <c r="I399" i="4"/>
  <c r="G50" i="1"/>
  <c r="F50" i="1"/>
  <c r="E50" i="1"/>
  <c r="I50" i="1" s="1"/>
  <c r="H398" i="4"/>
  <c r="G398" i="4"/>
  <c r="I398" i="4"/>
  <c r="J22" i="16"/>
  <c r="J21" i="16"/>
  <c r="K50" i="1" l="1"/>
  <c r="J50" i="1"/>
  <c r="G500" i="17"/>
  <c r="F500" i="17"/>
  <c r="E500" i="17"/>
  <c r="I500" i="17" s="1"/>
  <c r="G499" i="17"/>
  <c r="F499" i="17"/>
  <c r="E499" i="17"/>
  <c r="I499" i="17" s="1"/>
  <c r="G498" i="17"/>
  <c r="F498" i="17"/>
  <c r="E498" i="17"/>
  <c r="I498" i="17" s="1"/>
  <c r="J498" i="17" s="1"/>
  <c r="G497" i="17"/>
  <c r="F497" i="17"/>
  <c r="E497" i="17"/>
  <c r="I497" i="17" s="1"/>
  <c r="K497" i="17" s="1"/>
  <c r="G496" i="17"/>
  <c r="F496" i="17"/>
  <c r="E496" i="17"/>
  <c r="I496" i="17" s="1"/>
  <c r="G495" i="17"/>
  <c r="F495" i="17"/>
  <c r="E495" i="17"/>
  <c r="I495" i="17" s="1"/>
  <c r="G494" i="17"/>
  <c r="F494" i="17"/>
  <c r="E494" i="17"/>
  <c r="I494" i="17" s="1"/>
  <c r="K494" i="17" s="1"/>
  <c r="G493" i="17"/>
  <c r="F493" i="17"/>
  <c r="E493" i="17"/>
  <c r="I493" i="17" s="1"/>
  <c r="G492" i="17"/>
  <c r="F492" i="17"/>
  <c r="E492" i="17"/>
  <c r="I492" i="17" s="1"/>
  <c r="G491" i="17"/>
  <c r="F491" i="17"/>
  <c r="E491" i="17"/>
  <c r="I491" i="17" s="1"/>
  <c r="G490" i="17"/>
  <c r="F490" i="17"/>
  <c r="E490" i="17"/>
  <c r="I490" i="17" s="1"/>
  <c r="J490" i="17" s="1"/>
  <c r="G489" i="17"/>
  <c r="F489" i="17"/>
  <c r="E489" i="17"/>
  <c r="I489" i="17" s="1"/>
  <c r="K489" i="17" s="1"/>
  <c r="G488" i="17"/>
  <c r="F488" i="17"/>
  <c r="E488" i="17"/>
  <c r="I488" i="17" s="1"/>
  <c r="G487" i="17"/>
  <c r="F487" i="17"/>
  <c r="E487" i="17"/>
  <c r="I487" i="17" s="1"/>
  <c r="G486" i="17"/>
  <c r="F486" i="17"/>
  <c r="E486" i="17"/>
  <c r="I486" i="17" s="1"/>
  <c r="K486" i="17" s="1"/>
  <c r="G485" i="17"/>
  <c r="F485" i="17"/>
  <c r="E485" i="17"/>
  <c r="I485" i="17" s="1"/>
  <c r="G484" i="17"/>
  <c r="F484" i="17"/>
  <c r="E484" i="17"/>
  <c r="I484" i="17" s="1"/>
  <c r="G483" i="17"/>
  <c r="F483" i="17"/>
  <c r="E483" i="17"/>
  <c r="I483" i="17" s="1"/>
  <c r="G482" i="17"/>
  <c r="F482" i="17"/>
  <c r="E482" i="17"/>
  <c r="I482" i="17" s="1"/>
  <c r="J482" i="17" s="1"/>
  <c r="G481" i="17"/>
  <c r="F481" i="17"/>
  <c r="E481" i="17"/>
  <c r="I481" i="17" s="1"/>
  <c r="K481" i="17" s="1"/>
  <c r="G480" i="17"/>
  <c r="F480" i="17"/>
  <c r="E480" i="17"/>
  <c r="I480" i="17" s="1"/>
  <c r="G479" i="17"/>
  <c r="F479" i="17"/>
  <c r="E479" i="17"/>
  <c r="I479" i="17" s="1"/>
  <c r="G478" i="17"/>
  <c r="F478" i="17"/>
  <c r="E478" i="17"/>
  <c r="I478" i="17" s="1"/>
  <c r="K478" i="17" s="1"/>
  <c r="G477" i="17"/>
  <c r="F477" i="17"/>
  <c r="E477" i="17"/>
  <c r="I477" i="17" s="1"/>
  <c r="G476" i="17"/>
  <c r="F476" i="17"/>
  <c r="E476" i="17"/>
  <c r="I476" i="17" s="1"/>
  <c r="G475" i="17"/>
  <c r="F475" i="17"/>
  <c r="E475" i="17"/>
  <c r="I475" i="17" s="1"/>
  <c r="G474" i="17"/>
  <c r="F474" i="17"/>
  <c r="E474" i="17"/>
  <c r="I474" i="17" s="1"/>
  <c r="J474" i="17" s="1"/>
  <c r="G473" i="17"/>
  <c r="F473" i="17"/>
  <c r="E473" i="17"/>
  <c r="I473" i="17" s="1"/>
  <c r="K473" i="17" s="1"/>
  <c r="G472" i="17"/>
  <c r="F472" i="17"/>
  <c r="E472" i="17"/>
  <c r="I472" i="17" s="1"/>
  <c r="G471" i="17"/>
  <c r="F471" i="17"/>
  <c r="E471" i="17"/>
  <c r="I471" i="17" s="1"/>
  <c r="G470" i="17"/>
  <c r="F470" i="17"/>
  <c r="E470" i="17"/>
  <c r="I470" i="17" s="1"/>
  <c r="K470" i="17" s="1"/>
  <c r="G469" i="17"/>
  <c r="F469" i="17"/>
  <c r="E469" i="17"/>
  <c r="I469" i="17" s="1"/>
  <c r="G468" i="17"/>
  <c r="F468" i="17"/>
  <c r="E468" i="17"/>
  <c r="I468" i="17" s="1"/>
  <c r="G467" i="17"/>
  <c r="F467" i="17"/>
  <c r="E467" i="17"/>
  <c r="I467" i="17" s="1"/>
  <c r="G466" i="17"/>
  <c r="F466" i="17"/>
  <c r="E466" i="17"/>
  <c r="I466" i="17" s="1"/>
  <c r="J466" i="17" s="1"/>
  <c r="G465" i="17"/>
  <c r="F465" i="17"/>
  <c r="E465" i="17"/>
  <c r="I465" i="17" s="1"/>
  <c r="K465" i="17" s="1"/>
  <c r="G464" i="17"/>
  <c r="F464" i="17"/>
  <c r="E464" i="17"/>
  <c r="I464" i="17" s="1"/>
  <c r="G463" i="17"/>
  <c r="F463" i="17"/>
  <c r="E463" i="17"/>
  <c r="I463" i="17" s="1"/>
  <c r="G462" i="17"/>
  <c r="F462" i="17"/>
  <c r="E462" i="17"/>
  <c r="I462" i="17" s="1"/>
  <c r="K462" i="17" s="1"/>
  <c r="G461" i="17"/>
  <c r="F461" i="17"/>
  <c r="E461" i="17"/>
  <c r="I461" i="17" s="1"/>
  <c r="G460" i="17"/>
  <c r="F460" i="17"/>
  <c r="E460" i="17"/>
  <c r="I460" i="17" s="1"/>
  <c r="G459" i="17"/>
  <c r="F459" i="17"/>
  <c r="E459" i="17"/>
  <c r="I459" i="17" s="1"/>
  <c r="G458" i="17"/>
  <c r="F458" i="17"/>
  <c r="E458" i="17"/>
  <c r="I458" i="17" s="1"/>
  <c r="J458" i="17" s="1"/>
  <c r="G457" i="17"/>
  <c r="F457" i="17"/>
  <c r="E457" i="17"/>
  <c r="I457" i="17" s="1"/>
  <c r="J457" i="17" s="1"/>
  <c r="G456" i="17"/>
  <c r="F456" i="17"/>
  <c r="E456" i="17"/>
  <c r="I456" i="17" s="1"/>
  <c r="J456" i="17" s="1"/>
  <c r="G455" i="17"/>
  <c r="F455" i="17"/>
  <c r="E455" i="17"/>
  <c r="I455" i="17" s="1"/>
  <c r="K455" i="17" s="1"/>
  <c r="G454" i="17"/>
  <c r="F454" i="17"/>
  <c r="E454" i="17"/>
  <c r="I454" i="17" s="1"/>
  <c r="J454" i="17" s="1"/>
  <c r="G453" i="17"/>
  <c r="F453" i="17"/>
  <c r="E453" i="17"/>
  <c r="I453" i="17" s="1"/>
  <c r="G452" i="17"/>
  <c r="F452" i="17"/>
  <c r="E452" i="17"/>
  <c r="I452" i="17" s="1"/>
  <c r="G451" i="17"/>
  <c r="F451" i="17"/>
  <c r="E451" i="17"/>
  <c r="I451" i="17" s="1"/>
  <c r="G450" i="17"/>
  <c r="F450" i="17"/>
  <c r="E450" i="17"/>
  <c r="I450" i="17" s="1"/>
  <c r="K450" i="17" s="1"/>
  <c r="G449" i="17"/>
  <c r="F449" i="17"/>
  <c r="E449" i="17"/>
  <c r="I449" i="17" s="1"/>
  <c r="K449" i="17" s="1"/>
  <c r="G448" i="17"/>
  <c r="F448" i="17"/>
  <c r="E448" i="17"/>
  <c r="I448" i="17" s="1"/>
  <c r="G447" i="17"/>
  <c r="F447" i="17"/>
  <c r="E447" i="17"/>
  <c r="I447" i="17" s="1"/>
  <c r="G446" i="17"/>
  <c r="F446" i="17"/>
  <c r="E446" i="17"/>
  <c r="I446" i="17" s="1"/>
  <c r="J446" i="17" s="1"/>
  <c r="G445" i="17"/>
  <c r="F445" i="17"/>
  <c r="E445" i="17"/>
  <c r="I445" i="17" s="1"/>
  <c r="J445" i="17" s="1"/>
  <c r="G444" i="17"/>
  <c r="F444" i="17"/>
  <c r="E444" i="17"/>
  <c r="I444" i="17" s="1"/>
  <c r="G443" i="17"/>
  <c r="F443" i="17"/>
  <c r="E443" i="17"/>
  <c r="I443" i="17" s="1"/>
  <c r="J443" i="17" s="1"/>
  <c r="G442" i="17"/>
  <c r="F442" i="17"/>
  <c r="E442" i="17"/>
  <c r="I442" i="17" s="1"/>
  <c r="G441" i="17"/>
  <c r="F441" i="17"/>
  <c r="E441" i="17"/>
  <c r="I441" i="17" s="1"/>
  <c r="G440" i="17"/>
  <c r="F440" i="17"/>
  <c r="E440" i="17"/>
  <c r="I440" i="17" s="1"/>
  <c r="J440" i="17" s="1"/>
  <c r="G439" i="17"/>
  <c r="F439" i="17"/>
  <c r="E439" i="17"/>
  <c r="I439" i="17" s="1"/>
  <c r="G438" i="17"/>
  <c r="F438" i="17"/>
  <c r="E438" i="17"/>
  <c r="I438" i="17" s="1"/>
  <c r="G437" i="17"/>
  <c r="F437" i="17"/>
  <c r="E437" i="17"/>
  <c r="I437" i="17" s="1"/>
  <c r="K437" i="17" s="1"/>
  <c r="G436" i="17"/>
  <c r="F436" i="17"/>
  <c r="E436" i="17"/>
  <c r="I436" i="17" s="1"/>
  <c r="G435" i="17"/>
  <c r="F435" i="17"/>
  <c r="E435" i="17"/>
  <c r="I435" i="17" s="1"/>
  <c r="G434" i="17"/>
  <c r="F434" i="17"/>
  <c r="E434" i="17"/>
  <c r="I434" i="17" s="1"/>
  <c r="G433" i="17"/>
  <c r="F433" i="17"/>
  <c r="E433" i="17"/>
  <c r="I433" i="17" s="1"/>
  <c r="J433" i="17" s="1"/>
  <c r="G432" i="17"/>
  <c r="F432" i="17"/>
  <c r="E432" i="17"/>
  <c r="I432" i="17" s="1"/>
  <c r="K432" i="17" s="1"/>
  <c r="G431" i="17"/>
  <c r="F431" i="17"/>
  <c r="E431" i="17"/>
  <c r="I431" i="17" s="1"/>
  <c r="G430" i="17"/>
  <c r="F430" i="17"/>
  <c r="E430" i="17"/>
  <c r="I430" i="17" s="1"/>
  <c r="G429" i="17"/>
  <c r="F429" i="17"/>
  <c r="E429" i="17"/>
  <c r="I429" i="17" s="1"/>
  <c r="J429" i="17" s="1"/>
  <c r="G428" i="17"/>
  <c r="F428" i="17"/>
  <c r="E428" i="17"/>
  <c r="I428" i="17" s="1"/>
  <c r="K428" i="17" s="1"/>
  <c r="G427" i="17"/>
  <c r="F427" i="17"/>
  <c r="E427" i="17"/>
  <c r="I427" i="17" s="1"/>
  <c r="J427" i="17" s="1"/>
  <c r="G426" i="17"/>
  <c r="F426" i="17"/>
  <c r="E426" i="17"/>
  <c r="I426" i="17" s="1"/>
  <c r="J426" i="17" s="1"/>
  <c r="G425" i="17"/>
  <c r="F425" i="17"/>
  <c r="E425" i="17"/>
  <c r="I425" i="17" s="1"/>
  <c r="K425" i="17" s="1"/>
  <c r="G424" i="17"/>
  <c r="F424" i="17"/>
  <c r="E424" i="17"/>
  <c r="I424" i="17" s="1"/>
  <c r="K424" i="17" s="1"/>
  <c r="G423" i="17"/>
  <c r="F423" i="17"/>
  <c r="E423" i="17"/>
  <c r="I423" i="17" s="1"/>
  <c r="G422" i="17"/>
  <c r="F422" i="17"/>
  <c r="E422" i="17"/>
  <c r="I422" i="17" s="1"/>
  <c r="J422" i="17" s="1"/>
  <c r="G421" i="17"/>
  <c r="F421" i="17"/>
  <c r="E421" i="17"/>
  <c r="I421" i="17" s="1"/>
  <c r="G420" i="17"/>
  <c r="F420" i="17"/>
  <c r="E420" i="17"/>
  <c r="I420" i="17" s="1"/>
  <c r="G419" i="17"/>
  <c r="F419" i="17"/>
  <c r="E419" i="17"/>
  <c r="I419" i="17" s="1"/>
  <c r="G418" i="17"/>
  <c r="F418" i="17"/>
  <c r="E418" i="17"/>
  <c r="I418" i="17" s="1"/>
  <c r="K418" i="17" s="1"/>
  <c r="G417" i="17"/>
  <c r="F417" i="17"/>
  <c r="E417" i="17"/>
  <c r="I417" i="17" s="1"/>
  <c r="J417" i="17" s="1"/>
  <c r="G416" i="17"/>
  <c r="F416" i="17"/>
  <c r="E416" i="17"/>
  <c r="I416" i="17" s="1"/>
  <c r="K416" i="17" s="1"/>
  <c r="G415" i="17"/>
  <c r="F415" i="17"/>
  <c r="E415" i="17"/>
  <c r="I415" i="17" s="1"/>
  <c r="G414" i="17"/>
  <c r="F414" i="17"/>
  <c r="E414" i="17"/>
  <c r="I414" i="17" s="1"/>
  <c r="K414" i="17" s="1"/>
  <c r="G413" i="17"/>
  <c r="F413" i="17"/>
  <c r="E413" i="17"/>
  <c r="I413" i="17" s="1"/>
  <c r="J413" i="17" s="1"/>
  <c r="G412" i="17"/>
  <c r="F412" i="17"/>
  <c r="E412" i="17"/>
  <c r="I412" i="17" s="1"/>
  <c r="K412" i="17" s="1"/>
  <c r="G411" i="17"/>
  <c r="F411" i="17"/>
  <c r="E411" i="17"/>
  <c r="I411" i="17" s="1"/>
  <c r="J411" i="17" s="1"/>
  <c r="G410" i="17"/>
  <c r="F410" i="17"/>
  <c r="E410" i="17"/>
  <c r="I410" i="17" s="1"/>
  <c r="J410" i="17" s="1"/>
  <c r="G409" i="17"/>
  <c r="F409" i="17"/>
  <c r="E409" i="17"/>
  <c r="I409" i="17" s="1"/>
  <c r="K409" i="17" s="1"/>
  <c r="G408" i="17"/>
  <c r="F408" i="17"/>
  <c r="E408" i="17"/>
  <c r="I408" i="17" s="1"/>
  <c r="J408" i="17" s="1"/>
  <c r="G407" i="17"/>
  <c r="F407" i="17"/>
  <c r="E407" i="17"/>
  <c r="I407" i="17" s="1"/>
  <c r="G406" i="17"/>
  <c r="F406" i="17"/>
  <c r="E406" i="17"/>
  <c r="I406" i="17" s="1"/>
  <c r="K406" i="17" s="1"/>
  <c r="G405" i="17"/>
  <c r="F405" i="17"/>
  <c r="E405" i="17"/>
  <c r="I405" i="17" s="1"/>
  <c r="G404" i="17"/>
  <c r="F404" i="17"/>
  <c r="E404" i="17"/>
  <c r="I404" i="17" s="1"/>
  <c r="K404" i="17" s="1"/>
  <c r="G403" i="17"/>
  <c r="F403" i="17"/>
  <c r="E403" i="17"/>
  <c r="I403" i="17" s="1"/>
  <c r="J403" i="17" s="1"/>
  <c r="G402" i="17"/>
  <c r="F402" i="17"/>
  <c r="E402" i="17"/>
  <c r="I402" i="17" s="1"/>
  <c r="K402" i="17" s="1"/>
  <c r="G401" i="17"/>
  <c r="F401" i="17"/>
  <c r="E401" i="17"/>
  <c r="I401" i="17" s="1"/>
  <c r="J401" i="17" s="1"/>
  <c r="G400" i="17"/>
  <c r="F400" i="17"/>
  <c r="E400" i="17"/>
  <c r="I400" i="17" s="1"/>
  <c r="G399" i="17"/>
  <c r="F399" i="17"/>
  <c r="E399" i="17"/>
  <c r="I399" i="17" s="1"/>
  <c r="J399" i="17" s="1"/>
  <c r="G398" i="17"/>
  <c r="F398" i="17"/>
  <c r="E398" i="17"/>
  <c r="I398" i="17" s="1"/>
  <c r="J398" i="17" s="1"/>
  <c r="G397" i="17"/>
  <c r="F397" i="17"/>
  <c r="E397" i="17"/>
  <c r="I397" i="17" s="1"/>
  <c r="G396" i="17"/>
  <c r="F396" i="17"/>
  <c r="E396" i="17"/>
  <c r="I396" i="17" s="1"/>
  <c r="G395" i="17"/>
  <c r="F395" i="17"/>
  <c r="E395" i="17"/>
  <c r="I395" i="17" s="1"/>
  <c r="J395" i="17" s="1"/>
  <c r="G394" i="17"/>
  <c r="F394" i="17"/>
  <c r="E394" i="17"/>
  <c r="I394" i="17" s="1"/>
  <c r="G393" i="17"/>
  <c r="F393" i="17"/>
  <c r="E393" i="17"/>
  <c r="I393" i="17" s="1"/>
  <c r="J393" i="17" s="1"/>
  <c r="G392" i="17"/>
  <c r="F392" i="17"/>
  <c r="E392" i="17"/>
  <c r="I392" i="17" s="1"/>
  <c r="K392" i="17" s="1"/>
  <c r="G391" i="17"/>
  <c r="F391" i="17"/>
  <c r="E391" i="17"/>
  <c r="I391" i="17" s="1"/>
  <c r="K391" i="17" s="1"/>
  <c r="G390" i="17"/>
  <c r="F390" i="17"/>
  <c r="E390" i="17"/>
  <c r="I390" i="17" s="1"/>
  <c r="G389" i="17"/>
  <c r="F389" i="17"/>
  <c r="E389" i="17"/>
  <c r="I389" i="17" s="1"/>
  <c r="G388" i="17"/>
  <c r="F388" i="17"/>
  <c r="E388" i="17"/>
  <c r="I388" i="17" s="1"/>
  <c r="G387" i="17"/>
  <c r="F387" i="17"/>
  <c r="E387" i="17"/>
  <c r="I387" i="17" s="1"/>
  <c r="J387" i="17" s="1"/>
  <c r="G386" i="17"/>
  <c r="F386" i="17"/>
  <c r="E386" i="17"/>
  <c r="I386" i="17" s="1"/>
  <c r="K386" i="17" s="1"/>
  <c r="G385" i="17"/>
  <c r="F385" i="17"/>
  <c r="E385" i="17"/>
  <c r="I385" i="17" s="1"/>
  <c r="J385" i="17" s="1"/>
  <c r="G384" i="17"/>
  <c r="F384" i="17"/>
  <c r="E384" i="17"/>
  <c r="I384" i="17" s="1"/>
  <c r="G383" i="17"/>
  <c r="F383" i="17"/>
  <c r="E383" i="17"/>
  <c r="I383" i="17" s="1"/>
  <c r="G382" i="17"/>
  <c r="F382" i="17"/>
  <c r="E382" i="17"/>
  <c r="I382" i="17" s="1"/>
  <c r="K382" i="17" s="1"/>
  <c r="G381" i="17"/>
  <c r="F381" i="17"/>
  <c r="E381" i="17"/>
  <c r="I381" i="17" s="1"/>
  <c r="G380" i="17"/>
  <c r="F380" i="17"/>
  <c r="E380" i="17"/>
  <c r="I380" i="17" s="1"/>
  <c r="K380" i="17" s="1"/>
  <c r="G379" i="17"/>
  <c r="F379" i="17"/>
  <c r="E379" i="17"/>
  <c r="I379" i="17" s="1"/>
  <c r="G378" i="17"/>
  <c r="F378" i="17"/>
  <c r="E378" i="17"/>
  <c r="I378" i="17" s="1"/>
  <c r="G377" i="17"/>
  <c r="F377" i="17"/>
  <c r="E377" i="17"/>
  <c r="I377" i="17" s="1"/>
  <c r="K377" i="17" s="1"/>
  <c r="G376" i="17"/>
  <c r="F376" i="17"/>
  <c r="E376" i="17"/>
  <c r="I376" i="17" s="1"/>
  <c r="G375" i="17"/>
  <c r="F375" i="17"/>
  <c r="E375" i="17"/>
  <c r="I375" i="17" s="1"/>
  <c r="G374" i="17"/>
  <c r="F374" i="17"/>
  <c r="E374" i="17"/>
  <c r="I374" i="17" s="1"/>
  <c r="G373" i="17"/>
  <c r="F373" i="17"/>
  <c r="E373" i="17"/>
  <c r="I373" i="17" s="1"/>
  <c r="G372" i="17"/>
  <c r="F372" i="17"/>
  <c r="E372" i="17"/>
  <c r="I372" i="17" s="1"/>
  <c r="G371" i="17"/>
  <c r="F371" i="17"/>
  <c r="E371" i="17"/>
  <c r="I371" i="17" s="1"/>
  <c r="G370" i="17"/>
  <c r="F370" i="17"/>
  <c r="E370" i="17"/>
  <c r="I370" i="17" s="1"/>
  <c r="K370" i="17" s="1"/>
  <c r="G369" i="17"/>
  <c r="F369" i="17"/>
  <c r="E369" i="17"/>
  <c r="I369" i="17" s="1"/>
  <c r="J369" i="17" s="1"/>
  <c r="G368" i="17"/>
  <c r="F368" i="17"/>
  <c r="E368" i="17"/>
  <c r="I368" i="17" s="1"/>
  <c r="K368" i="17" s="1"/>
  <c r="G367" i="17"/>
  <c r="F367" i="17"/>
  <c r="E367" i="17"/>
  <c r="I367" i="17" s="1"/>
  <c r="J367" i="17" s="1"/>
  <c r="G366" i="17"/>
  <c r="F366" i="17"/>
  <c r="E366" i="17"/>
  <c r="I366" i="17" s="1"/>
  <c r="J366" i="17" s="1"/>
  <c r="G365" i="17"/>
  <c r="F365" i="17"/>
  <c r="E365" i="17"/>
  <c r="I365" i="17" s="1"/>
  <c r="J365" i="17" s="1"/>
  <c r="G364" i="17"/>
  <c r="F364" i="17"/>
  <c r="E364" i="17"/>
  <c r="I364" i="17" s="1"/>
  <c r="G363" i="17"/>
  <c r="F363" i="17"/>
  <c r="E363" i="17"/>
  <c r="I363" i="17" s="1"/>
  <c r="G362" i="17"/>
  <c r="F362" i="17"/>
  <c r="E362" i="17"/>
  <c r="I362" i="17" s="1"/>
  <c r="G361" i="17"/>
  <c r="F361" i="17"/>
  <c r="E361" i="17"/>
  <c r="I361" i="17" s="1"/>
  <c r="K361" i="17" s="1"/>
  <c r="G360" i="17"/>
  <c r="F360" i="17"/>
  <c r="E360" i="17"/>
  <c r="I360" i="17" s="1"/>
  <c r="G359" i="17"/>
  <c r="F359" i="17"/>
  <c r="E359" i="17"/>
  <c r="I359" i="17" s="1"/>
  <c r="K359" i="17" s="1"/>
  <c r="G358" i="17"/>
  <c r="F358" i="17"/>
  <c r="E358" i="17"/>
  <c r="I358" i="17" s="1"/>
  <c r="K358" i="17" s="1"/>
  <c r="G357" i="17"/>
  <c r="F357" i="17"/>
  <c r="E357" i="17"/>
  <c r="I357" i="17" s="1"/>
  <c r="G356" i="17"/>
  <c r="F356" i="17"/>
  <c r="E356" i="17"/>
  <c r="I356" i="17" s="1"/>
  <c r="G355" i="17"/>
  <c r="F355" i="17"/>
  <c r="E355" i="17"/>
  <c r="I355" i="17" s="1"/>
  <c r="J355" i="17" s="1"/>
  <c r="G354" i="17"/>
  <c r="F354" i="17"/>
  <c r="E354" i="17"/>
  <c r="I354" i="17" s="1"/>
  <c r="G353" i="17"/>
  <c r="F353" i="17"/>
  <c r="E353" i="17"/>
  <c r="I353" i="17" s="1"/>
  <c r="J353" i="17" s="1"/>
  <c r="G352" i="17"/>
  <c r="F352" i="17"/>
  <c r="E352" i="17"/>
  <c r="I352" i="17" s="1"/>
  <c r="K352" i="17" s="1"/>
  <c r="G351" i="17"/>
  <c r="F351" i="17"/>
  <c r="E351" i="17"/>
  <c r="I351" i="17" s="1"/>
  <c r="J351" i="17" s="1"/>
  <c r="G350" i="17"/>
  <c r="F350" i="17"/>
  <c r="E350" i="17"/>
  <c r="I350" i="17" s="1"/>
  <c r="G349" i="17"/>
  <c r="F349" i="17"/>
  <c r="E349" i="17"/>
  <c r="I349" i="17" s="1"/>
  <c r="J349" i="17" s="1"/>
  <c r="G348" i="17"/>
  <c r="F348" i="17"/>
  <c r="E348" i="17"/>
  <c r="I348" i="17" s="1"/>
  <c r="G347" i="17"/>
  <c r="F347" i="17"/>
  <c r="E347" i="17"/>
  <c r="I347" i="17" s="1"/>
  <c r="J347" i="17" s="1"/>
  <c r="G346" i="17"/>
  <c r="F346" i="17"/>
  <c r="E346" i="17"/>
  <c r="I346" i="17" s="1"/>
  <c r="G345" i="17"/>
  <c r="F345" i="17"/>
  <c r="E345" i="17"/>
  <c r="I345" i="17" s="1"/>
  <c r="G344" i="17"/>
  <c r="F344" i="17"/>
  <c r="E344" i="17"/>
  <c r="I344" i="17" s="1"/>
  <c r="G343" i="17"/>
  <c r="F343" i="17"/>
  <c r="E343" i="17"/>
  <c r="I343" i="17" s="1"/>
  <c r="K343" i="17" s="1"/>
  <c r="G342" i="17"/>
  <c r="F342" i="17"/>
  <c r="E342" i="17"/>
  <c r="I342" i="17" s="1"/>
  <c r="J342" i="17" s="1"/>
  <c r="G341" i="17"/>
  <c r="F341" i="17"/>
  <c r="E341" i="17"/>
  <c r="I341" i="17" s="1"/>
  <c r="G340" i="17"/>
  <c r="F340" i="17"/>
  <c r="E340" i="17"/>
  <c r="I340" i="17" s="1"/>
  <c r="K340" i="17" s="1"/>
  <c r="G339" i="17"/>
  <c r="F339" i="17"/>
  <c r="E339" i="17"/>
  <c r="I339" i="17" s="1"/>
  <c r="G338" i="17"/>
  <c r="F338" i="17"/>
  <c r="E338" i="17"/>
  <c r="I338" i="17" s="1"/>
  <c r="K338" i="17" s="1"/>
  <c r="G337" i="17"/>
  <c r="F337" i="17"/>
  <c r="E337" i="17"/>
  <c r="I337" i="17" s="1"/>
  <c r="K337" i="17" s="1"/>
  <c r="G336" i="17"/>
  <c r="F336" i="17"/>
  <c r="E336" i="17"/>
  <c r="I336" i="17" s="1"/>
  <c r="G335" i="17"/>
  <c r="F335" i="17"/>
  <c r="E335" i="17"/>
  <c r="I335" i="17" s="1"/>
  <c r="J335" i="17" s="1"/>
  <c r="G334" i="17"/>
  <c r="F334" i="17"/>
  <c r="E334" i="17"/>
  <c r="I334" i="17" s="1"/>
  <c r="K334" i="17" s="1"/>
  <c r="G333" i="17"/>
  <c r="F333" i="17"/>
  <c r="E333" i="17"/>
  <c r="I333" i="17" s="1"/>
  <c r="J333" i="17" s="1"/>
  <c r="G332" i="17"/>
  <c r="F332" i="17"/>
  <c r="E332" i="17"/>
  <c r="I332" i="17" s="1"/>
  <c r="G331" i="17"/>
  <c r="F331" i="17"/>
  <c r="E331" i="17"/>
  <c r="I331" i="17" s="1"/>
  <c r="J331" i="17" s="1"/>
  <c r="G330" i="17"/>
  <c r="F330" i="17"/>
  <c r="E330" i="17"/>
  <c r="I330" i="17" s="1"/>
  <c r="G329" i="17"/>
  <c r="F329" i="17"/>
  <c r="E329" i="17"/>
  <c r="I329" i="17" s="1"/>
  <c r="J329" i="17" s="1"/>
  <c r="G328" i="17"/>
  <c r="F328" i="17"/>
  <c r="E328" i="17"/>
  <c r="I328" i="17" s="1"/>
  <c r="J328" i="17" s="1"/>
  <c r="G327" i="17"/>
  <c r="F327" i="17"/>
  <c r="E327" i="17"/>
  <c r="I327" i="17" s="1"/>
  <c r="G326" i="17"/>
  <c r="F326" i="17"/>
  <c r="E326" i="17"/>
  <c r="I326" i="17" s="1"/>
  <c r="G325" i="17"/>
  <c r="F325" i="17"/>
  <c r="E325" i="17"/>
  <c r="I325" i="17" s="1"/>
  <c r="J325" i="17" s="1"/>
  <c r="G324" i="17"/>
  <c r="F324" i="17"/>
  <c r="E324" i="17"/>
  <c r="I324" i="17" s="1"/>
  <c r="G323" i="17"/>
  <c r="F323" i="17"/>
  <c r="E323" i="17"/>
  <c r="I323" i="17" s="1"/>
  <c r="G322" i="17"/>
  <c r="F322" i="17"/>
  <c r="E322" i="17"/>
  <c r="I322" i="17" s="1"/>
  <c r="G321" i="17"/>
  <c r="F321" i="17"/>
  <c r="E321" i="17"/>
  <c r="I321" i="17" s="1"/>
  <c r="G320" i="17"/>
  <c r="F320" i="17"/>
  <c r="E320" i="17"/>
  <c r="I320" i="17" s="1"/>
  <c r="J320" i="17" s="1"/>
  <c r="G319" i="17"/>
  <c r="F319" i="17"/>
  <c r="E319" i="17"/>
  <c r="I319" i="17" s="1"/>
  <c r="G318" i="17"/>
  <c r="F318" i="17"/>
  <c r="E318" i="17"/>
  <c r="I318" i="17" s="1"/>
  <c r="K318" i="17" s="1"/>
  <c r="G317" i="17"/>
  <c r="F317" i="17"/>
  <c r="E317" i="17"/>
  <c r="I317" i="17" s="1"/>
  <c r="J317" i="17" s="1"/>
  <c r="G316" i="17"/>
  <c r="F316" i="17"/>
  <c r="E316" i="17"/>
  <c r="I316" i="17" s="1"/>
  <c r="G315" i="17"/>
  <c r="F315" i="17"/>
  <c r="E315" i="17"/>
  <c r="I315" i="17" s="1"/>
  <c r="J315" i="17" s="1"/>
  <c r="G314" i="17"/>
  <c r="F314" i="17"/>
  <c r="E314" i="17"/>
  <c r="I314" i="17" s="1"/>
  <c r="G313" i="17"/>
  <c r="F313" i="17"/>
  <c r="E313" i="17"/>
  <c r="I313" i="17" s="1"/>
  <c r="J313" i="17" s="1"/>
  <c r="G312" i="17"/>
  <c r="F312" i="17"/>
  <c r="E312" i="17"/>
  <c r="I312" i="17" s="1"/>
  <c r="J312" i="17" s="1"/>
  <c r="G311" i="17"/>
  <c r="F311" i="17"/>
  <c r="E311" i="17"/>
  <c r="I311" i="17" s="1"/>
  <c r="G310" i="17"/>
  <c r="F310" i="17"/>
  <c r="E310" i="17"/>
  <c r="I310" i="17" s="1"/>
  <c r="J310" i="17" s="1"/>
  <c r="G309" i="17"/>
  <c r="F309" i="17"/>
  <c r="E309" i="17"/>
  <c r="I309" i="17" s="1"/>
  <c r="K309" i="17" s="1"/>
  <c r="G308" i="17"/>
  <c r="F308" i="17"/>
  <c r="E308" i="17"/>
  <c r="I308" i="17" s="1"/>
  <c r="G307" i="17"/>
  <c r="F307" i="17"/>
  <c r="E307" i="17"/>
  <c r="I307" i="17" s="1"/>
  <c r="G306" i="17"/>
  <c r="F306" i="17"/>
  <c r="E306" i="17"/>
  <c r="I306" i="17" s="1"/>
  <c r="K306" i="17" s="1"/>
  <c r="G305" i="17"/>
  <c r="F305" i="17"/>
  <c r="E305" i="17"/>
  <c r="I305" i="17" s="1"/>
  <c r="G304" i="17"/>
  <c r="F304" i="17"/>
  <c r="E304" i="17"/>
  <c r="I304" i="17" s="1"/>
  <c r="J304" i="17" s="1"/>
  <c r="G303" i="17"/>
  <c r="F303" i="17"/>
  <c r="E303" i="17"/>
  <c r="I303" i="17" s="1"/>
  <c r="G302" i="17"/>
  <c r="F302" i="17"/>
  <c r="E302" i="17"/>
  <c r="I302" i="17" s="1"/>
  <c r="G301" i="17"/>
  <c r="F301" i="17"/>
  <c r="E301" i="17"/>
  <c r="I301" i="17" s="1"/>
  <c r="G300" i="17"/>
  <c r="F300" i="17"/>
  <c r="E300" i="17"/>
  <c r="I300" i="17" s="1"/>
  <c r="G299" i="17"/>
  <c r="F299" i="17"/>
  <c r="E299" i="17"/>
  <c r="I299" i="17" s="1"/>
  <c r="G298" i="17"/>
  <c r="F298" i="17"/>
  <c r="E298" i="17"/>
  <c r="I298" i="17" s="1"/>
  <c r="K298" i="17" s="1"/>
  <c r="G297" i="17"/>
  <c r="F297" i="17"/>
  <c r="E297" i="17"/>
  <c r="I297" i="17" s="1"/>
  <c r="G296" i="17"/>
  <c r="F296" i="17"/>
  <c r="E296" i="17"/>
  <c r="I296" i="17" s="1"/>
  <c r="J296" i="17" s="1"/>
  <c r="G295" i="17"/>
  <c r="F295" i="17"/>
  <c r="E295" i="17"/>
  <c r="I295" i="17" s="1"/>
  <c r="G294" i="17"/>
  <c r="F294" i="17"/>
  <c r="E294" i="17"/>
  <c r="I294" i="17" s="1"/>
  <c r="J294" i="17" s="1"/>
  <c r="G293" i="17"/>
  <c r="F293" i="17"/>
  <c r="E293" i="17"/>
  <c r="I293" i="17" s="1"/>
  <c r="G292" i="17"/>
  <c r="F292" i="17"/>
  <c r="E292" i="17"/>
  <c r="I292" i="17" s="1"/>
  <c r="J292" i="17" s="1"/>
  <c r="G291" i="17"/>
  <c r="F291" i="17"/>
  <c r="E291" i="17"/>
  <c r="I291" i="17" s="1"/>
  <c r="G290" i="17"/>
  <c r="F290" i="17"/>
  <c r="E290" i="17"/>
  <c r="I290" i="17" s="1"/>
  <c r="J290" i="17" s="1"/>
  <c r="G289" i="17"/>
  <c r="F289" i="17"/>
  <c r="E289" i="17"/>
  <c r="I289" i="17" s="1"/>
  <c r="J289" i="17" s="1"/>
  <c r="G288" i="17"/>
  <c r="F288" i="17"/>
  <c r="E288" i="17"/>
  <c r="I288" i="17" s="1"/>
  <c r="G287" i="17"/>
  <c r="F287" i="17"/>
  <c r="E287" i="17"/>
  <c r="I287" i="17" s="1"/>
  <c r="K287" i="17" s="1"/>
  <c r="G286" i="17"/>
  <c r="F286" i="17"/>
  <c r="E286" i="17"/>
  <c r="I286" i="17" s="1"/>
  <c r="K286" i="17" s="1"/>
  <c r="G285" i="17"/>
  <c r="F285" i="17"/>
  <c r="E285" i="17"/>
  <c r="I285" i="17" s="1"/>
  <c r="G284" i="17"/>
  <c r="F284" i="17"/>
  <c r="E284" i="17"/>
  <c r="I284" i="17" s="1"/>
  <c r="K284" i="17" s="1"/>
  <c r="G283" i="17"/>
  <c r="F283" i="17"/>
  <c r="E283" i="17"/>
  <c r="I283" i="17" s="1"/>
  <c r="G282" i="17"/>
  <c r="F282" i="17"/>
  <c r="E282" i="17"/>
  <c r="I282" i="17" s="1"/>
  <c r="G281" i="17"/>
  <c r="F281" i="17"/>
  <c r="E281" i="17"/>
  <c r="I281" i="17" s="1"/>
  <c r="J281" i="17" s="1"/>
  <c r="G280" i="17"/>
  <c r="F280" i="17"/>
  <c r="E280" i="17"/>
  <c r="I280" i="17" s="1"/>
  <c r="G279" i="17"/>
  <c r="F279" i="17"/>
  <c r="E279" i="17"/>
  <c r="I279" i="17" s="1"/>
  <c r="G278" i="17"/>
  <c r="F278" i="17"/>
  <c r="E278" i="17"/>
  <c r="I278" i="17" s="1"/>
  <c r="K278" i="17" s="1"/>
  <c r="G277" i="17"/>
  <c r="F277" i="17"/>
  <c r="E277" i="17"/>
  <c r="I277" i="17" s="1"/>
  <c r="G276" i="17"/>
  <c r="F276" i="17"/>
  <c r="E276" i="17"/>
  <c r="I276" i="17" s="1"/>
  <c r="K276" i="17" s="1"/>
  <c r="G275" i="17"/>
  <c r="F275" i="17"/>
  <c r="E275" i="17"/>
  <c r="I275" i="17" s="1"/>
  <c r="G274" i="17"/>
  <c r="F274" i="17"/>
  <c r="E274" i="17"/>
  <c r="I274" i="17" s="1"/>
  <c r="J274" i="17" s="1"/>
  <c r="G273" i="17"/>
  <c r="F273" i="17"/>
  <c r="E273" i="17"/>
  <c r="I273" i="17" s="1"/>
  <c r="J273" i="17" s="1"/>
  <c r="G272" i="17"/>
  <c r="F272" i="17"/>
  <c r="E272" i="17"/>
  <c r="I272" i="17" s="1"/>
  <c r="K272" i="17" s="1"/>
  <c r="G271" i="17"/>
  <c r="F271" i="17"/>
  <c r="E271" i="17"/>
  <c r="I271" i="17" s="1"/>
  <c r="G270" i="17"/>
  <c r="F270" i="17"/>
  <c r="E270" i="17"/>
  <c r="I270" i="17" s="1"/>
  <c r="G269" i="17"/>
  <c r="F269" i="17"/>
  <c r="E269" i="17"/>
  <c r="I269" i="17" s="1"/>
  <c r="G268" i="17"/>
  <c r="F268" i="17"/>
  <c r="E268" i="17"/>
  <c r="I268" i="17" s="1"/>
  <c r="K268" i="17" s="1"/>
  <c r="G267" i="17"/>
  <c r="F267" i="17"/>
  <c r="E267" i="17"/>
  <c r="I267" i="17" s="1"/>
  <c r="G266" i="17"/>
  <c r="F266" i="17"/>
  <c r="E266" i="17"/>
  <c r="I266" i="17" s="1"/>
  <c r="G265" i="17"/>
  <c r="F265" i="17"/>
  <c r="E265" i="17"/>
  <c r="I265" i="17" s="1"/>
  <c r="J265" i="17" s="1"/>
  <c r="G264" i="17"/>
  <c r="F264" i="17"/>
  <c r="E264" i="17"/>
  <c r="I264" i="17" s="1"/>
  <c r="G263" i="17"/>
  <c r="F263" i="17"/>
  <c r="E263" i="17"/>
  <c r="I263" i="17" s="1"/>
  <c r="J263" i="17" s="1"/>
  <c r="G262" i="17"/>
  <c r="F262" i="17"/>
  <c r="E262" i="17"/>
  <c r="I262" i="17" s="1"/>
  <c r="G261" i="17"/>
  <c r="F261" i="17"/>
  <c r="E261" i="17"/>
  <c r="I261" i="17" s="1"/>
  <c r="G260" i="17"/>
  <c r="F260" i="17"/>
  <c r="E260" i="17"/>
  <c r="I260" i="17" s="1"/>
  <c r="K260" i="17" s="1"/>
  <c r="G259" i="17"/>
  <c r="F259" i="17"/>
  <c r="E259" i="17"/>
  <c r="I259" i="17" s="1"/>
  <c r="G258" i="17"/>
  <c r="F258" i="17"/>
  <c r="E258" i="17"/>
  <c r="I258" i="17" s="1"/>
  <c r="J258" i="17" s="1"/>
  <c r="G257" i="17"/>
  <c r="F257" i="17"/>
  <c r="E257" i="17"/>
  <c r="I257" i="17" s="1"/>
  <c r="J257" i="17" s="1"/>
  <c r="G256" i="17"/>
  <c r="F256" i="17"/>
  <c r="E256" i="17"/>
  <c r="I256" i="17" s="1"/>
  <c r="K256" i="17" s="1"/>
  <c r="G255" i="17"/>
  <c r="F255" i="17"/>
  <c r="E255" i="17"/>
  <c r="I255" i="17" s="1"/>
  <c r="G254" i="17"/>
  <c r="F254" i="17"/>
  <c r="E254" i="17"/>
  <c r="I254" i="17" s="1"/>
  <c r="K254" i="17" s="1"/>
  <c r="G253" i="17"/>
  <c r="F253" i="17"/>
  <c r="E253" i="17"/>
  <c r="I253" i="17" s="1"/>
  <c r="G252" i="17"/>
  <c r="F252" i="17"/>
  <c r="E252" i="17"/>
  <c r="I252" i="17" s="1"/>
  <c r="J252" i="17" s="1"/>
  <c r="G251" i="17"/>
  <c r="F251" i="17"/>
  <c r="E251" i="17"/>
  <c r="I251" i="17" s="1"/>
  <c r="G250" i="17"/>
  <c r="F250" i="17"/>
  <c r="E250" i="17"/>
  <c r="I250" i="17" s="1"/>
  <c r="G249" i="17"/>
  <c r="F249" i="17"/>
  <c r="E249" i="17"/>
  <c r="I249" i="17" s="1"/>
  <c r="J249" i="17" s="1"/>
  <c r="G248" i="17"/>
  <c r="F248" i="17"/>
  <c r="E248" i="17"/>
  <c r="I248" i="17" s="1"/>
  <c r="K248" i="17" s="1"/>
  <c r="G247" i="17"/>
  <c r="F247" i="17"/>
  <c r="E247" i="17"/>
  <c r="I247" i="17" s="1"/>
  <c r="J247" i="17" s="1"/>
  <c r="G246" i="17"/>
  <c r="F246" i="17"/>
  <c r="E246" i="17"/>
  <c r="I246" i="17" s="1"/>
  <c r="K246" i="17" s="1"/>
  <c r="G245" i="17"/>
  <c r="F245" i="17"/>
  <c r="E245" i="17"/>
  <c r="I245" i="17" s="1"/>
  <c r="G244" i="17"/>
  <c r="F244" i="17"/>
  <c r="E244" i="17"/>
  <c r="I244" i="17" s="1"/>
  <c r="J244" i="17" s="1"/>
  <c r="G243" i="17"/>
  <c r="F243" i="17"/>
  <c r="E243" i="17"/>
  <c r="I243" i="17" s="1"/>
  <c r="K243" i="17" s="1"/>
  <c r="G242" i="17"/>
  <c r="F242" i="17"/>
  <c r="E242" i="17"/>
  <c r="I242" i="17" s="1"/>
  <c r="K242" i="17" s="1"/>
  <c r="G241" i="17"/>
  <c r="F241" i="17"/>
  <c r="E241" i="17"/>
  <c r="I241" i="17" s="1"/>
  <c r="G240" i="17"/>
  <c r="F240" i="17"/>
  <c r="E240" i="17"/>
  <c r="I240" i="17" s="1"/>
  <c r="G239" i="17"/>
  <c r="F239" i="17"/>
  <c r="E239" i="17"/>
  <c r="I239" i="17" s="1"/>
  <c r="G238" i="17"/>
  <c r="F238" i="17"/>
  <c r="E238" i="17"/>
  <c r="I238" i="17" s="1"/>
  <c r="J238" i="17" s="1"/>
  <c r="G237" i="17"/>
  <c r="F237" i="17"/>
  <c r="E237" i="17"/>
  <c r="I237" i="17" s="1"/>
  <c r="J237" i="17" s="1"/>
  <c r="G236" i="17"/>
  <c r="F236" i="17"/>
  <c r="E236" i="17"/>
  <c r="I236" i="17" s="1"/>
  <c r="K236" i="17" s="1"/>
  <c r="G235" i="17"/>
  <c r="F235" i="17"/>
  <c r="E235" i="17"/>
  <c r="I235" i="17" s="1"/>
  <c r="G234" i="17"/>
  <c r="F234" i="17"/>
  <c r="E234" i="17"/>
  <c r="I234" i="17" s="1"/>
  <c r="G233" i="17"/>
  <c r="F233" i="17"/>
  <c r="E233" i="17"/>
  <c r="I233" i="17" s="1"/>
  <c r="J233" i="17" s="1"/>
  <c r="G232" i="17"/>
  <c r="F232" i="17"/>
  <c r="E232" i="17"/>
  <c r="I232" i="17" s="1"/>
  <c r="G231" i="17"/>
  <c r="F231" i="17"/>
  <c r="E231" i="17"/>
  <c r="I231" i="17" s="1"/>
  <c r="J231" i="17" s="1"/>
  <c r="G230" i="17"/>
  <c r="F230" i="17"/>
  <c r="E230" i="17"/>
  <c r="I230" i="17" s="1"/>
  <c r="K230" i="17" s="1"/>
  <c r="G229" i="17"/>
  <c r="F229" i="17"/>
  <c r="E229" i="17"/>
  <c r="I229" i="17" s="1"/>
  <c r="J229" i="17" s="1"/>
  <c r="G228" i="17"/>
  <c r="F228" i="17"/>
  <c r="E228" i="17"/>
  <c r="I228" i="17" s="1"/>
  <c r="K228" i="17" s="1"/>
  <c r="G227" i="17"/>
  <c r="F227" i="17"/>
  <c r="E227" i="17"/>
  <c r="I227" i="17" s="1"/>
  <c r="K227" i="17" s="1"/>
  <c r="G226" i="17"/>
  <c r="F226" i="17"/>
  <c r="E226" i="17"/>
  <c r="I226" i="17" s="1"/>
  <c r="K226" i="17" s="1"/>
  <c r="G225" i="17"/>
  <c r="F225" i="17"/>
  <c r="E225" i="17"/>
  <c r="I225" i="17" s="1"/>
  <c r="K225" i="17" s="1"/>
  <c r="G224" i="17"/>
  <c r="F224" i="17"/>
  <c r="E224" i="17"/>
  <c r="I224" i="17" s="1"/>
  <c r="G223" i="17"/>
  <c r="F223" i="17"/>
  <c r="E223" i="17"/>
  <c r="I223" i="17" s="1"/>
  <c r="J223" i="17" s="1"/>
  <c r="G222" i="17"/>
  <c r="F222" i="17"/>
  <c r="E222" i="17"/>
  <c r="I222" i="17" s="1"/>
  <c r="K222" i="17" s="1"/>
  <c r="G221" i="17"/>
  <c r="F221" i="17"/>
  <c r="E221" i="17"/>
  <c r="I221" i="17" s="1"/>
  <c r="G220" i="17"/>
  <c r="F220" i="17"/>
  <c r="E220" i="17"/>
  <c r="I220" i="17" s="1"/>
  <c r="K220" i="17" s="1"/>
  <c r="G219" i="17"/>
  <c r="F219" i="17"/>
  <c r="E219" i="17"/>
  <c r="I219" i="17" s="1"/>
  <c r="K219" i="17" s="1"/>
  <c r="G218" i="17"/>
  <c r="F218" i="17"/>
  <c r="E218" i="17"/>
  <c r="I218" i="17" s="1"/>
  <c r="G217" i="17"/>
  <c r="F217" i="17"/>
  <c r="E217" i="17"/>
  <c r="I217" i="17" s="1"/>
  <c r="G216" i="17"/>
  <c r="F216" i="17"/>
  <c r="E216" i="17"/>
  <c r="I216" i="17" s="1"/>
  <c r="K216" i="17" s="1"/>
  <c r="G215" i="17"/>
  <c r="F215" i="17"/>
  <c r="E215" i="17"/>
  <c r="I215" i="17" s="1"/>
  <c r="J215" i="17" s="1"/>
  <c r="G214" i="17"/>
  <c r="F214" i="17"/>
  <c r="E214" i="17"/>
  <c r="I214" i="17" s="1"/>
  <c r="G213" i="17"/>
  <c r="F213" i="17"/>
  <c r="E213" i="17"/>
  <c r="I213" i="17" s="1"/>
  <c r="G212" i="17"/>
  <c r="F212" i="17"/>
  <c r="E212" i="17"/>
  <c r="I212" i="17" s="1"/>
  <c r="K212" i="17" s="1"/>
  <c r="G211" i="17"/>
  <c r="F211" i="17"/>
  <c r="E211" i="17"/>
  <c r="I211" i="17" s="1"/>
  <c r="J211" i="17" s="1"/>
  <c r="G210" i="17"/>
  <c r="F210" i="17"/>
  <c r="E210" i="17"/>
  <c r="I210" i="17" s="1"/>
  <c r="G209" i="17"/>
  <c r="F209" i="17"/>
  <c r="E209" i="17"/>
  <c r="I209" i="17" s="1"/>
  <c r="G208" i="17"/>
  <c r="F208" i="17"/>
  <c r="E208" i="17"/>
  <c r="I208" i="17" s="1"/>
  <c r="G207" i="17"/>
  <c r="F207" i="17"/>
  <c r="E207" i="17"/>
  <c r="I207" i="17" s="1"/>
  <c r="J207" i="17" s="1"/>
  <c r="G206" i="17"/>
  <c r="F206" i="17"/>
  <c r="E206" i="17"/>
  <c r="I206" i="17" s="1"/>
  <c r="G205" i="17"/>
  <c r="F205" i="17"/>
  <c r="E205" i="17"/>
  <c r="I205" i="17" s="1"/>
  <c r="K205" i="17" s="1"/>
  <c r="G204" i="17"/>
  <c r="F204" i="17"/>
  <c r="E204" i="17"/>
  <c r="I204" i="17" s="1"/>
  <c r="G203" i="17"/>
  <c r="F203" i="17"/>
  <c r="E203" i="17"/>
  <c r="I203" i="17" s="1"/>
  <c r="G202" i="17"/>
  <c r="F202" i="17"/>
  <c r="E202" i="17"/>
  <c r="I202" i="17" s="1"/>
  <c r="G201" i="17"/>
  <c r="F201" i="17"/>
  <c r="E201" i="17"/>
  <c r="I201" i="17" s="1"/>
  <c r="G200" i="17"/>
  <c r="F200" i="17"/>
  <c r="E200" i="17"/>
  <c r="I200" i="17" s="1"/>
  <c r="G199" i="17"/>
  <c r="F199" i="17"/>
  <c r="E199" i="17"/>
  <c r="I199" i="17" s="1"/>
  <c r="G198" i="17"/>
  <c r="F198" i="17"/>
  <c r="E198" i="17"/>
  <c r="I198" i="17" s="1"/>
  <c r="G197" i="17"/>
  <c r="F197" i="17"/>
  <c r="E197" i="17"/>
  <c r="I197" i="17" s="1"/>
  <c r="G196" i="17"/>
  <c r="F196" i="17"/>
  <c r="E196" i="17"/>
  <c r="I196" i="17" s="1"/>
  <c r="G195" i="17"/>
  <c r="F195" i="17"/>
  <c r="E195" i="17"/>
  <c r="I195" i="17" s="1"/>
  <c r="G194" i="17"/>
  <c r="F194" i="17"/>
  <c r="E194" i="17"/>
  <c r="I194" i="17" s="1"/>
  <c r="G193" i="17"/>
  <c r="F193" i="17"/>
  <c r="E193" i="17"/>
  <c r="I193" i="17" s="1"/>
  <c r="J193" i="17" s="1"/>
  <c r="G192" i="17"/>
  <c r="F192" i="17"/>
  <c r="E192" i="17"/>
  <c r="I192" i="17" s="1"/>
  <c r="G191" i="17"/>
  <c r="F191" i="17"/>
  <c r="E191" i="17"/>
  <c r="I191" i="17" s="1"/>
  <c r="G190" i="17"/>
  <c r="F190" i="17"/>
  <c r="E190" i="17"/>
  <c r="I190" i="17" s="1"/>
  <c r="J190" i="17" s="1"/>
  <c r="G189" i="17"/>
  <c r="F189" i="17"/>
  <c r="E189" i="17"/>
  <c r="I189" i="17" s="1"/>
  <c r="K189" i="17" s="1"/>
  <c r="G188" i="17"/>
  <c r="F188" i="17"/>
  <c r="E188" i="17"/>
  <c r="I188" i="17" s="1"/>
  <c r="G187" i="17"/>
  <c r="F187" i="17"/>
  <c r="E187" i="17"/>
  <c r="I187" i="17" s="1"/>
  <c r="K187" i="17" s="1"/>
  <c r="G186" i="17"/>
  <c r="F186" i="17"/>
  <c r="E186" i="17"/>
  <c r="I186" i="17" s="1"/>
  <c r="K186" i="17" s="1"/>
  <c r="G185" i="17"/>
  <c r="F185" i="17"/>
  <c r="E185" i="17"/>
  <c r="I185" i="17" s="1"/>
  <c r="J185" i="17" s="1"/>
  <c r="G184" i="17"/>
  <c r="F184" i="17"/>
  <c r="E184" i="17"/>
  <c r="I184" i="17" s="1"/>
  <c r="J184" i="17" s="1"/>
  <c r="G183" i="17"/>
  <c r="F183" i="17"/>
  <c r="E183" i="17"/>
  <c r="I183" i="17" s="1"/>
  <c r="K183" i="17" s="1"/>
  <c r="G182" i="17"/>
  <c r="F182" i="17"/>
  <c r="E182" i="17"/>
  <c r="I182" i="17" s="1"/>
  <c r="J182" i="17" s="1"/>
  <c r="G181" i="17"/>
  <c r="F181" i="17"/>
  <c r="E181" i="17"/>
  <c r="I181" i="17" s="1"/>
  <c r="K181" i="17" s="1"/>
  <c r="G180" i="17"/>
  <c r="F180" i="17"/>
  <c r="E180" i="17"/>
  <c r="I180" i="17" s="1"/>
  <c r="G179" i="17"/>
  <c r="F179" i="17"/>
  <c r="E179" i="17"/>
  <c r="I179" i="17" s="1"/>
  <c r="K179" i="17" s="1"/>
  <c r="G178" i="17"/>
  <c r="F178" i="17"/>
  <c r="E178" i="17"/>
  <c r="I178" i="17" s="1"/>
  <c r="K178" i="17" s="1"/>
  <c r="G177" i="17"/>
  <c r="F177" i="17"/>
  <c r="E177" i="17"/>
  <c r="I177" i="17" s="1"/>
  <c r="J177" i="17" s="1"/>
  <c r="G176" i="17"/>
  <c r="F176" i="17"/>
  <c r="E176" i="17"/>
  <c r="I176" i="17" s="1"/>
  <c r="G175" i="17"/>
  <c r="F175" i="17"/>
  <c r="E175" i="17"/>
  <c r="I175" i="17" s="1"/>
  <c r="K175" i="17" s="1"/>
  <c r="G174" i="17"/>
  <c r="F174" i="17"/>
  <c r="E174" i="17"/>
  <c r="I174" i="17" s="1"/>
  <c r="J174" i="17" s="1"/>
  <c r="G173" i="17"/>
  <c r="F173" i="17"/>
  <c r="E173" i="17"/>
  <c r="I173" i="17" s="1"/>
  <c r="K173" i="17" s="1"/>
  <c r="G172" i="17"/>
  <c r="F172" i="17"/>
  <c r="E172" i="17"/>
  <c r="I172" i="17" s="1"/>
  <c r="G171" i="17"/>
  <c r="F171" i="17"/>
  <c r="E171" i="17"/>
  <c r="I171" i="17" s="1"/>
  <c r="K171" i="17" s="1"/>
  <c r="G170" i="17"/>
  <c r="F170" i="17"/>
  <c r="E170" i="17"/>
  <c r="I170" i="17" s="1"/>
  <c r="K170" i="17" s="1"/>
  <c r="G169" i="17"/>
  <c r="F169" i="17"/>
  <c r="E169" i="17"/>
  <c r="I169" i="17" s="1"/>
  <c r="J169" i="17" s="1"/>
  <c r="G168" i="17"/>
  <c r="F168" i="17"/>
  <c r="E168" i="17"/>
  <c r="I168" i="17" s="1"/>
  <c r="J168" i="17" s="1"/>
  <c r="G167" i="17"/>
  <c r="F167" i="17"/>
  <c r="E167" i="17"/>
  <c r="I167" i="17" s="1"/>
  <c r="K167" i="17" s="1"/>
  <c r="G166" i="17"/>
  <c r="F166" i="17"/>
  <c r="E166" i="17"/>
  <c r="I166" i="17" s="1"/>
  <c r="J166" i="17" s="1"/>
  <c r="G165" i="17"/>
  <c r="F165" i="17"/>
  <c r="E165" i="17"/>
  <c r="I165" i="17" s="1"/>
  <c r="K165" i="17" s="1"/>
  <c r="G164" i="17"/>
  <c r="F164" i="17"/>
  <c r="E164" i="17"/>
  <c r="I164" i="17" s="1"/>
  <c r="G163" i="17"/>
  <c r="F163" i="17"/>
  <c r="E163" i="17"/>
  <c r="I163" i="17" s="1"/>
  <c r="K163" i="17" s="1"/>
  <c r="G162" i="17"/>
  <c r="F162" i="17"/>
  <c r="E162" i="17"/>
  <c r="I162" i="17" s="1"/>
  <c r="G161" i="17"/>
  <c r="F161" i="17"/>
  <c r="E161" i="17"/>
  <c r="I161" i="17" s="1"/>
  <c r="J161" i="17" s="1"/>
  <c r="G160" i="17"/>
  <c r="F160" i="17"/>
  <c r="E160" i="17"/>
  <c r="I160" i="17" s="1"/>
  <c r="J160" i="17" s="1"/>
  <c r="G159" i="17"/>
  <c r="F159" i="17"/>
  <c r="E159" i="17"/>
  <c r="I159" i="17" s="1"/>
  <c r="G158" i="17"/>
  <c r="F158" i="17"/>
  <c r="E158" i="17"/>
  <c r="I158" i="17" s="1"/>
  <c r="J158" i="17" s="1"/>
  <c r="G157" i="17"/>
  <c r="F157" i="17"/>
  <c r="E157" i="17"/>
  <c r="I157" i="17" s="1"/>
  <c r="G156" i="17"/>
  <c r="F156" i="17"/>
  <c r="E156" i="17"/>
  <c r="I156" i="17" s="1"/>
  <c r="G155" i="17"/>
  <c r="F155" i="17"/>
  <c r="E155" i="17"/>
  <c r="I155" i="17" s="1"/>
  <c r="K155" i="17" s="1"/>
  <c r="G154" i="17"/>
  <c r="F154" i="17"/>
  <c r="E154" i="17"/>
  <c r="I154" i="17" s="1"/>
  <c r="K154" i="17" s="1"/>
  <c r="G153" i="17"/>
  <c r="F153" i="17"/>
  <c r="E153" i="17"/>
  <c r="I153" i="17" s="1"/>
  <c r="J153" i="17" s="1"/>
  <c r="G152" i="17"/>
  <c r="F152" i="17"/>
  <c r="E152" i="17"/>
  <c r="I152" i="17" s="1"/>
  <c r="J152" i="17" s="1"/>
  <c r="G151" i="17"/>
  <c r="F151" i="17"/>
  <c r="E151" i="17"/>
  <c r="I151" i="17" s="1"/>
  <c r="K151" i="17" s="1"/>
  <c r="G150" i="17"/>
  <c r="F150" i="17"/>
  <c r="E150" i="17"/>
  <c r="I150" i="17" s="1"/>
  <c r="G149" i="17"/>
  <c r="F149" i="17"/>
  <c r="E149" i="17"/>
  <c r="I149" i="17" s="1"/>
  <c r="J149" i="17" s="1"/>
  <c r="G148" i="17"/>
  <c r="F148" i="17"/>
  <c r="E148" i="17"/>
  <c r="I148" i="17" s="1"/>
  <c r="J148" i="17" s="1"/>
  <c r="G147" i="17"/>
  <c r="F147" i="17"/>
  <c r="E147" i="17"/>
  <c r="I147" i="17" s="1"/>
  <c r="K147" i="17" s="1"/>
  <c r="G146" i="17"/>
  <c r="F146" i="17"/>
  <c r="E146" i="17"/>
  <c r="I146" i="17" s="1"/>
  <c r="K146" i="17" s="1"/>
  <c r="G145" i="17"/>
  <c r="F145" i="17"/>
  <c r="E145" i="17"/>
  <c r="I145" i="17" s="1"/>
  <c r="G144" i="17"/>
  <c r="F144" i="17"/>
  <c r="E144" i="17"/>
  <c r="I144" i="17" s="1"/>
  <c r="J144" i="17" s="1"/>
  <c r="G143" i="17"/>
  <c r="F143" i="17"/>
  <c r="E143" i="17"/>
  <c r="I143" i="17" s="1"/>
  <c r="K143" i="17" s="1"/>
  <c r="G142" i="17"/>
  <c r="F142" i="17"/>
  <c r="E142" i="17"/>
  <c r="I142" i="17" s="1"/>
  <c r="K142" i="17" s="1"/>
  <c r="G141" i="17"/>
  <c r="F141" i="17"/>
  <c r="E141" i="17"/>
  <c r="I141" i="17" s="1"/>
  <c r="J141" i="17" s="1"/>
  <c r="G140" i="17"/>
  <c r="F140" i="17"/>
  <c r="E140" i="17"/>
  <c r="I140" i="17" s="1"/>
  <c r="G139" i="17"/>
  <c r="F139" i="17"/>
  <c r="E139" i="17"/>
  <c r="I139" i="17" s="1"/>
  <c r="K139" i="17" s="1"/>
  <c r="G138" i="17"/>
  <c r="F138" i="17"/>
  <c r="E138" i="17"/>
  <c r="I138" i="17" s="1"/>
  <c r="G137" i="17"/>
  <c r="F137" i="17"/>
  <c r="E137" i="17"/>
  <c r="I137" i="17" s="1"/>
  <c r="J137" i="17" s="1"/>
  <c r="G136" i="17"/>
  <c r="F136" i="17"/>
  <c r="E136" i="17"/>
  <c r="I136" i="17" s="1"/>
  <c r="G135" i="17"/>
  <c r="F135" i="17"/>
  <c r="E135" i="17"/>
  <c r="I135" i="17" s="1"/>
  <c r="G134" i="17"/>
  <c r="F134" i="17"/>
  <c r="E134" i="17"/>
  <c r="I134" i="17" s="1"/>
  <c r="G133" i="17"/>
  <c r="F133" i="17"/>
  <c r="E133" i="17"/>
  <c r="I133" i="17" s="1"/>
  <c r="G132" i="17"/>
  <c r="F132" i="17"/>
  <c r="E132" i="17"/>
  <c r="I132" i="17" s="1"/>
  <c r="K132" i="17" s="1"/>
  <c r="G131" i="17"/>
  <c r="F131" i="17"/>
  <c r="E131" i="17"/>
  <c r="I131" i="17" s="1"/>
  <c r="G130" i="17"/>
  <c r="F130" i="17"/>
  <c r="E130" i="17"/>
  <c r="I130" i="17" s="1"/>
  <c r="G129" i="17"/>
  <c r="F129" i="17"/>
  <c r="E129" i="17"/>
  <c r="I129" i="17" s="1"/>
  <c r="J129" i="17" s="1"/>
  <c r="G128" i="17"/>
  <c r="F128" i="17"/>
  <c r="E128" i="17"/>
  <c r="I128" i="17" s="1"/>
  <c r="K128" i="17" s="1"/>
  <c r="G127" i="17"/>
  <c r="F127" i="17"/>
  <c r="E127" i="17"/>
  <c r="I127" i="17" s="1"/>
  <c r="J127" i="17" s="1"/>
  <c r="G126" i="17"/>
  <c r="F126" i="17"/>
  <c r="E126" i="17"/>
  <c r="I126" i="17" s="1"/>
  <c r="K126" i="17" s="1"/>
  <c r="G125" i="17"/>
  <c r="F125" i="17"/>
  <c r="E125" i="17"/>
  <c r="I125" i="17" s="1"/>
  <c r="J125" i="17" s="1"/>
  <c r="G124" i="17"/>
  <c r="F124" i="17"/>
  <c r="E124" i="17"/>
  <c r="I124" i="17" s="1"/>
  <c r="K124" i="17" s="1"/>
  <c r="G123" i="17"/>
  <c r="F123" i="17"/>
  <c r="E123" i="17"/>
  <c r="I123" i="17" s="1"/>
  <c r="G122" i="17"/>
  <c r="F122" i="17"/>
  <c r="E122" i="17"/>
  <c r="I122" i="17" s="1"/>
  <c r="K122" i="17" s="1"/>
  <c r="G121" i="17"/>
  <c r="F121" i="17"/>
  <c r="E121" i="17"/>
  <c r="I121" i="17" s="1"/>
  <c r="J121" i="17" s="1"/>
  <c r="G120" i="17"/>
  <c r="F120" i="17"/>
  <c r="E120" i="17"/>
  <c r="I120" i="17" s="1"/>
  <c r="K120" i="17" s="1"/>
  <c r="G119" i="17"/>
  <c r="F119" i="17"/>
  <c r="E119" i="17"/>
  <c r="I119" i="17" s="1"/>
  <c r="G118" i="17"/>
  <c r="F118" i="17"/>
  <c r="E118" i="17"/>
  <c r="I118" i="17" s="1"/>
  <c r="K118" i="17" s="1"/>
  <c r="G117" i="17"/>
  <c r="F117" i="17"/>
  <c r="E117" i="17"/>
  <c r="I117" i="17" s="1"/>
  <c r="J117" i="17" s="1"/>
  <c r="G116" i="17"/>
  <c r="F116" i="17"/>
  <c r="E116" i="17"/>
  <c r="I116" i="17" s="1"/>
  <c r="K116" i="17" s="1"/>
  <c r="G115" i="17"/>
  <c r="F115" i="17"/>
  <c r="E115" i="17"/>
  <c r="I115" i="17" s="1"/>
  <c r="G114" i="17"/>
  <c r="F114" i="17"/>
  <c r="E114" i="17"/>
  <c r="I114" i="17" s="1"/>
  <c r="K114" i="17" s="1"/>
  <c r="G113" i="17"/>
  <c r="F113" i="17"/>
  <c r="E113" i="17"/>
  <c r="I113" i="17" s="1"/>
  <c r="J113" i="17" s="1"/>
  <c r="G112" i="17"/>
  <c r="F112" i="17"/>
  <c r="E112" i="17"/>
  <c r="I112" i="17" s="1"/>
  <c r="K112" i="17" s="1"/>
  <c r="G111" i="17"/>
  <c r="F111" i="17"/>
  <c r="E111" i="17"/>
  <c r="I111" i="17" s="1"/>
  <c r="G110" i="17"/>
  <c r="F110" i="17"/>
  <c r="E110" i="17"/>
  <c r="I110" i="17" s="1"/>
  <c r="K110" i="17" s="1"/>
  <c r="G109" i="17"/>
  <c r="F109" i="17"/>
  <c r="E109" i="17"/>
  <c r="I109" i="17" s="1"/>
  <c r="J109" i="17" s="1"/>
  <c r="G108" i="17"/>
  <c r="F108" i="17"/>
  <c r="E108" i="17"/>
  <c r="I108" i="17" s="1"/>
  <c r="K108" i="17" s="1"/>
  <c r="G107" i="17"/>
  <c r="F107" i="17"/>
  <c r="E107" i="17"/>
  <c r="I107" i="17" s="1"/>
  <c r="G106" i="17"/>
  <c r="F106" i="17"/>
  <c r="E106" i="17"/>
  <c r="I106" i="17" s="1"/>
  <c r="K106" i="17" s="1"/>
  <c r="G105" i="17"/>
  <c r="F105" i="17"/>
  <c r="E105" i="17"/>
  <c r="I105" i="17" s="1"/>
  <c r="J105" i="17" s="1"/>
  <c r="G104" i="17"/>
  <c r="F104" i="17"/>
  <c r="E104" i="17"/>
  <c r="I104" i="17" s="1"/>
  <c r="K104" i="17" s="1"/>
  <c r="G103" i="17"/>
  <c r="F103" i="17"/>
  <c r="E103" i="17"/>
  <c r="I103" i="17" s="1"/>
  <c r="G102" i="17"/>
  <c r="F102" i="17"/>
  <c r="E102" i="17"/>
  <c r="I102" i="17" s="1"/>
  <c r="K102" i="17" s="1"/>
  <c r="G101" i="17"/>
  <c r="F101" i="17"/>
  <c r="E101" i="17"/>
  <c r="I101" i="17" s="1"/>
  <c r="J101" i="17" s="1"/>
  <c r="G100" i="17"/>
  <c r="F100" i="17"/>
  <c r="E100" i="17"/>
  <c r="I100" i="17" s="1"/>
  <c r="K100" i="17" s="1"/>
  <c r="G99" i="17"/>
  <c r="F99" i="17"/>
  <c r="E99" i="17"/>
  <c r="I99" i="17" s="1"/>
  <c r="G98" i="17"/>
  <c r="F98" i="17"/>
  <c r="E98" i="17"/>
  <c r="I98" i="17" s="1"/>
  <c r="K98" i="17" s="1"/>
  <c r="G97" i="17"/>
  <c r="F97" i="17"/>
  <c r="E97" i="17"/>
  <c r="I97" i="17" s="1"/>
  <c r="J97" i="17" s="1"/>
  <c r="G96" i="17"/>
  <c r="F96" i="17"/>
  <c r="E96" i="17"/>
  <c r="I96" i="17" s="1"/>
  <c r="K96" i="17" s="1"/>
  <c r="G95" i="17"/>
  <c r="F95" i="17"/>
  <c r="E95" i="17"/>
  <c r="I95" i="17" s="1"/>
  <c r="G94" i="17"/>
  <c r="F94" i="17"/>
  <c r="E94" i="17"/>
  <c r="I94" i="17" s="1"/>
  <c r="K94" i="17" s="1"/>
  <c r="G93" i="17"/>
  <c r="F93" i="17"/>
  <c r="E93" i="17"/>
  <c r="I93" i="17" s="1"/>
  <c r="J93" i="17" s="1"/>
  <c r="G92" i="17"/>
  <c r="F92" i="17"/>
  <c r="E92" i="17"/>
  <c r="I92" i="17" s="1"/>
  <c r="K92" i="17" s="1"/>
  <c r="G91" i="17"/>
  <c r="F91" i="17"/>
  <c r="E91" i="17"/>
  <c r="I91" i="17" s="1"/>
  <c r="G90" i="17"/>
  <c r="F90" i="17"/>
  <c r="E90" i="17"/>
  <c r="I90" i="17" s="1"/>
  <c r="K90" i="17" s="1"/>
  <c r="G89" i="17"/>
  <c r="F89" i="17"/>
  <c r="E89" i="17"/>
  <c r="I89" i="17" s="1"/>
  <c r="J89" i="17" s="1"/>
  <c r="G88" i="17"/>
  <c r="F88" i="17"/>
  <c r="E88" i="17"/>
  <c r="I88" i="17" s="1"/>
  <c r="K88" i="17" s="1"/>
  <c r="G87" i="17"/>
  <c r="F87" i="17"/>
  <c r="E87" i="17"/>
  <c r="I87" i="17" s="1"/>
  <c r="G86" i="17"/>
  <c r="F86" i="17"/>
  <c r="E86" i="17"/>
  <c r="I86" i="17" s="1"/>
  <c r="K86" i="17" s="1"/>
  <c r="G85" i="17"/>
  <c r="F85" i="17"/>
  <c r="E85" i="17"/>
  <c r="I85" i="17" s="1"/>
  <c r="J85" i="17" s="1"/>
  <c r="G84" i="17"/>
  <c r="F84" i="17"/>
  <c r="E84" i="17"/>
  <c r="I84" i="17" s="1"/>
  <c r="K84" i="17" s="1"/>
  <c r="G83" i="17"/>
  <c r="F83" i="17"/>
  <c r="E83" i="17"/>
  <c r="I83" i="17" s="1"/>
  <c r="J83" i="17" s="1"/>
  <c r="G82" i="17"/>
  <c r="F82" i="17"/>
  <c r="E82" i="17"/>
  <c r="I82" i="17" s="1"/>
  <c r="K82" i="17" s="1"/>
  <c r="G81" i="17"/>
  <c r="F81" i="17"/>
  <c r="E81" i="17"/>
  <c r="I81" i="17" s="1"/>
  <c r="J81" i="17" s="1"/>
  <c r="G80" i="17"/>
  <c r="F80" i="17"/>
  <c r="E80" i="17"/>
  <c r="I80" i="17" s="1"/>
  <c r="K80" i="17" s="1"/>
  <c r="G79" i="17"/>
  <c r="F79" i="17"/>
  <c r="E79" i="17"/>
  <c r="I79" i="17" s="1"/>
  <c r="J79" i="17" s="1"/>
  <c r="G78" i="17"/>
  <c r="F78" i="17"/>
  <c r="E78" i="17"/>
  <c r="I78" i="17" s="1"/>
  <c r="K78" i="17" s="1"/>
  <c r="G77" i="17"/>
  <c r="F77" i="17"/>
  <c r="E77" i="17"/>
  <c r="I77" i="17" s="1"/>
  <c r="J77" i="17" s="1"/>
  <c r="G76" i="17"/>
  <c r="F76" i="17"/>
  <c r="E76" i="17"/>
  <c r="I76" i="17" s="1"/>
  <c r="K76" i="17" s="1"/>
  <c r="G75" i="17"/>
  <c r="F75" i="17"/>
  <c r="E75" i="17"/>
  <c r="I75" i="17" s="1"/>
  <c r="K75" i="17" s="1"/>
  <c r="G74" i="17"/>
  <c r="F74" i="17"/>
  <c r="E74" i="17"/>
  <c r="I74" i="17" s="1"/>
  <c r="K74" i="17" s="1"/>
  <c r="G73" i="17"/>
  <c r="F73" i="17"/>
  <c r="E73" i="17"/>
  <c r="I73" i="17" s="1"/>
  <c r="J73" i="17" s="1"/>
  <c r="G72" i="17"/>
  <c r="F72" i="17"/>
  <c r="E72" i="17"/>
  <c r="I72" i="17" s="1"/>
  <c r="K72" i="17" s="1"/>
  <c r="G71" i="17"/>
  <c r="F71" i="17"/>
  <c r="E71" i="17"/>
  <c r="I71" i="17" s="1"/>
  <c r="K71" i="17" s="1"/>
  <c r="G70" i="17"/>
  <c r="F70" i="17"/>
  <c r="E70" i="17"/>
  <c r="I70" i="17" s="1"/>
  <c r="K70" i="17" s="1"/>
  <c r="G69" i="17"/>
  <c r="F69" i="17"/>
  <c r="E69" i="17"/>
  <c r="I69" i="17" s="1"/>
  <c r="J69" i="17" s="1"/>
  <c r="G68" i="17"/>
  <c r="F68" i="17"/>
  <c r="E68" i="17"/>
  <c r="I68" i="17" s="1"/>
  <c r="K68" i="17" s="1"/>
  <c r="G67" i="17"/>
  <c r="F67" i="17"/>
  <c r="E67" i="17"/>
  <c r="I67" i="17" s="1"/>
  <c r="J67" i="17" s="1"/>
  <c r="G66" i="17"/>
  <c r="F66" i="17"/>
  <c r="E66" i="17"/>
  <c r="I66" i="17" s="1"/>
  <c r="K66" i="17" s="1"/>
  <c r="G65" i="17"/>
  <c r="F65" i="17"/>
  <c r="E65" i="17"/>
  <c r="I65" i="17" s="1"/>
  <c r="J65" i="17" s="1"/>
  <c r="G64" i="17"/>
  <c r="F64" i="17"/>
  <c r="E64" i="17"/>
  <c r="I64" i="17" s="1"/>
  <c r="K64" i="17" s="1"/>
  <c r="G63" i="17"/>
  <c r="F63" i="17"/>
  <c r="E63" i="17"/>
  <c r="I63" i="17" s="1"/>
  <c r="J63" i="17" s="1"/>
  <c r="G62" i="17"/>
  <c r="F62" i="17"/>
  <c r="E62" i="17"/>
  <c r="G61" i="17"/>
  <c r="F61" i="17"/>
  <c r="E61" i="17"/>
  <c r="I61" i="17" s="1"/>
  <c r="J61" i="17" s="1"/>
  <c r="G60" i="17"/>
  <c r="F60" i="17"/>
  <c r="E60" i="17"/>
  <c r="I60" i="17" s="1"/>
  <c r="K60" i="17" s="1"/>
  <c r="G59" i="17"/>
  <c r="F59" i="17"/>
  <c r="E59" i="17"/>
  <c r="I59" i="17" s="1"/>
  <c r="K59" i="17" s="1"/>
  <c r="G58" i="17"/>
  <c r="F58" i="17"/>
  <c r="E58" i="17"/>
  <c r="G57" i="17"/>
  <c r="F57" i="17"/>
  <c r="E57" i="17"/>
  <c r="I57" i="17" s="1"/>
  <c r="J57" i="17" s="1"/>
  <c r="G56" i="17"/>
  <c r="F56" i="17"/>
  <c r="E56" i="17"/>
  <c r="I56" i="17" s="1"/>
  <c r="K56" i="17" s="1"/>
  <c r="G55" i="17"/>
  <c r="F55" i="17"/>
  <c r="E55" i="17"/>
  <c r="I55" i="17" s="1"/>
  <c r="K55" i="17" s="1"/>
  <c r="G54" i="17"/>
  <c r="F54" i="17"/>
  <c r="E54" i="17"/>
  <c r="G53" i="17"/>
  <c r="F53" i="17"/>
  <c r="E53" i="17"/>
  <c r="I53" i="17" s="1"/>
  <c r="J53" i="17" s="1"/>
  <c r="G52" i="17"/>
  <c r="F52" i="17"/>
  <c r="E52" i="17"/>
  <c r="G51" i="17"/>
  <c r="F51" i="17"/>
  <c r="E51" i="17"/>
  <c r="G50" i="17"/>
  <c r="F50" i="17"/>
  <c r="E50" i="17"/>
  <c r="G49" i="17"/>
  <c r="F49" i="17"/>
  <c r="E49" i="17"/>
  <c r="I49" i="17" s="1"/>
  <c r="J49" i="17" s="1"/>
  <c r="G48" i="17"/>
  <c r="F48" i="17"/>
  <c r="E48" i="17"/>
  <c r="I48" i="17" s="1"/>
  <c r="K48" i="17" s="1"/>
  <c r="G47" i="17"/>
  <c r="F47" i="17"/>
  <c r="E47" i="17"/>
  <c r="I47" i="17" s="1"/>
  <c r="J47" i="17" s="1"/>
  <c r="W46" i="17"/>
  <c r="G46" i="17"/>
  <c r="F46" i="17"/>
  <c r="E46" i="17"/>
  <c r="I46" i="17" s="1"/>
  <c r="G45" i="17"/>
  <c r="F45" i="17"/>
  <c r="E45" i="17"/>
  <c r="I45" i="17" s="1"/>
  <c r="G44" i="17"/>
  <c r="F44" i="17"/>
  <c r="E44" i="17"/>
  <c r="I44" i="17" s="1"/>
  <c r="G43" i="17"/>
  <c r="F43" i="17"/>
  <c r="E43" i="17"/>
  <c r="G42" i="17"/>
  <c r="F42" i="17"/>
  <c r="E42" i="17"/>
  <c r="I42" i="17" s="1"/>
  <c r="J42" i="17" s="1"/>
  <c r="G41" i="17"/>
  <c r="F41" i="17"/>
  <c r="E41" i="17"/>
  <c r="I41" i="17" s="1"/>
  <c r="G40" i="17"/>
  <c r="F40" i="17"/>
  <c r="E40" i="17"/>
  <c r="G39" i="17"/>
  <c r="F39" i="17"/>
  <c r="E39" i="17"/>
  <c r="I39" i="17" s="1"/>
  <c r="K39" i="17" s="1"/>
  <c r="G38" i="17"/>
  <c r="F38" i="17"/>
  <c r="E38" i="17"/>
  <c r="I38" i="17" s="1"/>
  <c r="G37" i="17"/>
  <c r="F37" i="17"/>
  <c r="E37" i="17"/>
  <c r="I37" i="17" s="1"/>
  <c r="G36" i="17"/>
  <c r="F36" i="17"/>
  <c r="E36" i="17"/>
  <c r="I36" i="17" s="1"/>
  <c r="G35" i="17"/>
  <c r="F35" i="17"/>
  <c r="E35" i="17"/>
  <c r="G34" i="17"/>
  <c r="F34" i="17"/>
  <c r="E34" i="17"/>
  <c r="I34" i="17" s="1"/>
  <c r="K34" i="17" s="1"/>
  <c r="G33" i="17"/>
  <c r="F33" i="17"/>
  <c r="E33" i="17"/>
  <c r="I33" i="17" s="1"/>
  <c r="K33" i="17" s="1"/>
  <c r="G32" i="17"/>
  <c r="F32" i="17"/>
  <c r="E32" i="17"/>
  <c r="G31" i="17"/>
  <c r="F31" i="17"/>
  <c r="E31" i="17"/>
  <c r="I31" i="17" s="1"/>
  <c r="K31" i="17" s="1"/>
  <c r="G30" i="17"/>
  <c r="F30" i="17"/>
  <c r="E30" i="17"/>
  <c r="G29" i="17"/>
  <c r="F29" i="17"/>
  <c r="E29" i="17"/>
  <c r="G28" i="17"/>
  <c r="F28" i="17"/>
  <c r="E28" i="17"/>
  <c r="G27" i="17"/>
  <c r="F27" i="17"/>
  <c r="E27" i="17"/>
  <c r="I27" i="17" s="1"/>
  <c r="G26" i="17"/>
  <c r="F26" i="17"/>
  <c r="E26" i="17"/>
  <c r="I26" i="17" s="1"/>
  <c r="K26" i="17" s="1"/>
  <c r="G25" i="17"/>
  <c r="F25" i="17"/>
  <c r="E25" i="17"/>
  <c r="I25" i="17" s="1"/>
  <c r="J25" i="17" s="1"/>
  <c r="G24" i="17"/>
  <c r="F24" i="17"/>
  <c r="E24" i="17"/>
  <c r="I24" i="17" s="1"/>
  <c r="K24" i="17" s="1"/>
  <c r="G23" i="17"/>
  <c r="F23" i="17"/>
  <c r="E23" i="17"/>
  <c r="I23" i="17" s="1"/>
  <c r="K23" i="17" s="1"/>
  <c r="G22" i="17"/>
  <c r="F22" i="17"/>
  <c r="E22" i="17"/>
  <c r="I22" i="17" s="1"/>
  <c r="J22" i="17" s="1"/>
  <c r="G21" i="17"/>
  <c r="F21" i="17"/>
  <c r="E21" i="17"/>
  <c r="I21" i="17" s="1"/>
  <c r="G20" i="17"/>
  <c r="F20" i="17"/>
  <c r="E20" i="17"/>
  <c r="I20" i="17" s="1"/>
  <c r="G19" i="17"/>
  <c r="F19" i="17"/>
  <c r="E19" i="17"/>
  <c r="I19" i="17" s="1"/>
  <c r="G18" i="17"/>
  <c r="F18" i="17"/>
  <c r="E18" i="17"/>
  <c r="I18" i="17" s="1"/>
  <c r="G17" i="17"/>
  <c r="F17" i="17"/>
  <c r="E17" i="17"/>
  <c r="I17" i="17" s="1"/>
  <c r="J17" i="17" s="1"/>
  <c r="G16" i="17"/>
  <c r="F16" i="17"/>
  <c r="E16" i="17"/>
  <c r="I16" i="17" s="1"/>
  <c r="G15" i="17"/>
  <c r="F15" i="17"/>
  <c r="E15" i="17"/>
  <c r="I15" i="17" s="1"/>
  <c r="J15" i="17" s="1"/>
  <c r="G14" i="17"/>
  <c r="F14" i="17"/>
  <c r="E14" i="17"/>
  <c r="I14" i="17" s="1"/>
  <c r="G13" i="17"/>
  <c r="F13" i="17"/>
  <c r="E13" i="17"/>
  <c r="I13" i="17" s="1"/>
  <c r="G12" i="17"/>
  <c r="F12" i="17"/>
  <c r="E12" i="17"/>
  <c r="I12" i="17" s="1"/>
  <c r="G11" i="17"/>
  <c r="F11" i="17"/>
  <c r="E11" i="17"/>
  <c r="G10" i="17"/>
  <c r="F10" i="17"/>
  <c r="E10" i="17"/>
  <c r="I10" i="17" s="1"/>
  <c r="G9" i="17"/>
  <c r="F9" i="17"/>
  <c r="E9" i="17"/>
  <c r="G8" i="17"/>
  <c r="F8" i="17"/>
  <c r="E8" i="17"/>
  <c r="I8" i="17" s="1"/>
  <c r="K8" i="17" s="1"/>
  <c r="G7" i="17"/>
  <c r="F7" i="17"/>
  <c r="E7" i="17"/>
  <c r="I7" i="17" s="1"/>
  <c r="J7" i="17" s="1"/>
  <c r="G6" i="17"/>
  <c r="F6" i="17"/>
  <c r="E6" i="17"/>
  <c r="G5" i="17"/>
  <c r="F5" i="17"/>
  <c r="E5" i="17"/>
  <c r="G4" i="17"/>
  <c r="F4" i="17"/>
  <c r="E4" i="17"/>
  <c r="G3" i="17"/>
  <c r="F3" i="17"/>
  <c r="E3" i="17"/>
  <c r="Q2" i="17"/>
  <c r="Q3" i="17" s="1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Q84" i="17" s="1"/>
  <c r="Q85" i="17" s="1"/>
  <c r="Q86" i="17" s="1"/>
  <c r="Q87" i="17" s="1"/>
  <c r="Q88" i="17" s="1"/>
  <c r="Q89" i="17" s="1"/>
  <c r="Q90" i="17" s="1"/>
  <c r="Q91" i="17" s="1"/>
  <c r="Q92" i="17" s="1"/>
  <c r="Q93" i="17" s="1"/>
  <c r="Q94" i="17" s="1"/>
  <c r="Q95" i="17" s="1"/>
  <c r="Q96" i="17" s="1"/>
  <c r="Q97" i="17" s="1"/>
  <c r="Q98" i="17" s="1"/>
  <c r="Q99" i="17" s="1"/>
  <c r="Q100" i="17" s="1"/>
  <c r="Q101" i="17" s="1"/>
  <c r="Q102" i="17" s="1"/>
  <c r="Q103" i="17" s="1"/>
  <c r="Q104" i="17" s="1"/>
  <c r="Q105" i="17" s="1"/>
  <c r="Q106" i="17" s="1"/>
  <c r="Q107" i="17" s="1"/>
  <c r="Q108" i="17" s="1"/>
  <c r="Q109" i="17" s="1"/>
  <c r="Q110" i="17" s="1"/>
  <c r="Q111" i="17" s="1"/>
  <c r="Q112" i="17" s="1"/>
  <c r="Q113" i="17" s="1"/>
  <c r="Q114" i="17" s="1"/>
  <c r="Q115" i="17" s="1"/>
  <c r="Q116" i="17" s="1"/>
  <c r="Q117" i="17" s="1"/>
  <c r="Q118" i="17" s="1"/>
  <c r="Q119" i="17" s="1"/>
  <c r="Q120" i="17" s="1"/>
  <c r="Q121" i="17" s="1"/>
  <c r="Q122" i="17" s="1"/>
  <c r="Q123" i="17" s="1"/>
  <c r="Q124" i="17" s="1"/>
  <c r="Q125" i="17" s="1"/>
  <c r="Q126" i="17" s="1"/>
  <c r="Q127" i="17" s="1"/>
  <c r="Q128" i="17" s="1"/>
  <c r="Q129" i="17" s="1"/>
  <c r="Q130" i="17" s="1"/>
  <c r="Q131" i="17" s="1"/>
  <c r="Q132" i="17" s="1"/>
  <c r="Q133" i="17" s="1"/>
  <c r="Q134" i="17" s="1"/>
  <c r="Q135" i="17" s="1"/>
  <c r="Q136" i="17" s="1"/>
  <c r="Q137" i="17" s="1"/>
  <c r="Q138" i="17" s="1"/>
  <c r="Q139" i="17" s="1"/>
  <c r="Q140" i="17" s="1"/>
  <c r="Q141" i="17" s="1"/>
  <c r="Q142" i="17" s="1"/>
  <c r="Q143" i="17" s="1"/>
  <c r="Q144" i="17" s="1"/>
  <c r="Q145" i="17" s="1"/>
  <c r="Q146" i="17" s="1"/>
  <c r="Q147" i="17" s="1"/>
  <c r="Q148" i="17" s="1"/>
  <c r="Q149" i="17" s="1"/>
  <c r="Q150" i="17" s="1"/>
  <c r="Q151" i="17" s="1"/>
  <c r="Q152" i="17" s="1"/>
  <c r="Q153" i="17" s="1"/>
  <c r="Q154" i="17" s="1"/>
  <c r="Q155" i="17" s="1"/>
  <c r="Q156" i="17" s="1"/>
  <c r="Q157" i="17" s="1"/>
  <c r="Q158" i="17" s="1"/>
  <c r="Q159" i="17" s="1"/>
  <c r="Q160" i="17" s="1"/>
  <c r="Q161" i="17" s="1"/>
  <c r="Q162" i="17" s="1"/>
  <c r="Q163" i="17" s="1"/>
  <c r="Q164" i="17" s="1"/>
  <c r="Q165" i="17" s="1"/>
  <c r="Q166" i="17" s="1"/>
  <c r="Q167" i="17" s="1"/>
  <c r="Q168" i="17" s="1"/>
  <c r="Q169" i="17" s="1"/>
  <c r="Q170" i="17" s="1"/>
  <c r="Q171" i="17" s="1"/>
  <c r="Q172" i="17" s="1"/>
  <c r="Q173" i="17" s="1"/>
  <c r="Q174" i="17" s="1"/>
  <c r="Q175" i="17" s="1"/>
  <c r="Q176" i="17" s="1"/>
  <c r="Q177" i="17" s="1"/>
  <c r="Q178" i="17" s="1"/>
  <c r="Q179" i="17" s="1"/>
  <c r="Q180" i="17" s="1"/>
  <c r="Q181" i="17" s="1"/>
  <c r="Q182" i="17" s="1"/>
  <c r="Q183" i="17" s="1"/>
  <c r="Q184" i="17" s="1"/>
  <c r="Q185" i="17" s="1"/>
  <c r="Q186" i="17" s="1"/>
  <c r="Q187" i="17" s="1"/>
  <c r="Q188" i="17" s="1"/>
  <c r="Q189" i="17" s="1"/>
  <c r="Q190" i="17" s="1"/>
  <c r="Q191" i="17" s="1"/>
  <c r="Q192" i="17" s="1"/>
  <c r="Q193" i="17" s="1"/>
  <c r="Q194" i="17" s="1"/>
  <c r="Q195" i="17" s="1"/>
  <c r="Q196" i="17" s="1"/>
  <c r="Q197" i="17" s="1"/>
  <c r="Q198" i="17" s="1"/>
  <c r="Q199" i="17" s="1"/>
  <c r="Q200" i="17" s="1"/>
  <c r="Q201" i="17" s="1"/>
  <c r="Q202" i="17" s="1"/>
  <c r="Q203" i="17" s="1"/>
  <c r="Q204" i="17" s="1"/>
  <c r="Q205" i="17" s="1"/>
  <c r="Q206" i="17" s="1"/>
  <c r="Q207" i="17" s="1"/>
  <c r="Q208" i="17" s="1"/>
  <c r="Q209" i="17" s="1"/>
  <c r="Q210" i="17" s="1"/>
  <c r="Q211" i="17" s="1"/>
  <c r="Q212" i="17" s="1"/>
  <c r="Q213" i="17" s="1"/>
  <c r="Q214" i="17" s="1"/>
  <c r="Q215" i="17" s="1"/>
  <c r="Q216" i="17" s="1"/>
  <c r="Q217" i="17" s="1"/>
  <c r="Q218" i="17" s="1"/>
  <c r="Q219" i="17" s="1"/>
  <c r="Q220" i="17" s="1"/>
  <c r="Q221" i="17" s="1"/>
  <c r="Q222" i="17" s="1"/>
  <c r="Q223" i="17" s="1"/>
  <c r="Q224" i="17" s="1"/>
  <c r="Q225" i="17" s="1"/>
  <c r="Q226" i="17" s="1"/>
  <c r="Q227" i="17" s="1"/>
  <c r="Q228" i="17" s="1"/>
  <c r="Q229" i="17" s="1"/>
  <c r="Q230" i="17" s="1"/>
  <c r="Q231" i="17" s="1"/>
  <c r="Q232" i="17" s="1"/>
  <c r="Q233" i="17" s="1"/>
  <c r="Q234" i="17" s="1"/>
  <c r="Q235" i="17" s="1"/>
  <c r="Q236" i="17" s="1"/>
  <c r="Q237" i="17" s="1"/>
  <c r="Q238" i="17" s="1"/>
  <c r="Q239" i="17" s="1"/>
  <c r="Q240" i="17" s="1"/>
  <c r="Q241" i="17" s="1"/>
  <c r="Q242" i="17" s="1"/>
  <c r="Q243" i="17" s="1"/>
  <c r="Q244" i="17" s="1"/>
  <c r="Q245" i="17" s="1"/>
  <c r="Q246" i="17" s="1"/>
  <c r="Q247" i="17" s="1"/>
  <c r="Q248" i="17" s="1"/>
  <c r="Q249" i="17" s="1"/>
  <c r="Q250" i="17" s="1"/>
  <c r="Q251" i="17" s="1"/>
  <c r="Q252" i="17" s="1"/>
  <c r="Q253" i="17" s="1"/>
  <c r="Q254" i="17" s="1"/>
  <c r="Q255" i="17" s="1"/>
  <c r="Q256" i="17" s="1"/>
  <c r="Q257" i="17" s="1"/>
  <c r="Q258" i="17" s="1"/>
  <c r="Q259" i="17" s="1"/>
  <c r="Q260" i="17" s="1"/>
  <c r="Q261" i="17" s="1"/>
  <c r="Q262" i="17" s="1"/>
  <c r="Q263" i="17" s="1"/>
  <c r="Q264" i="17" s="1"/>
  <c r="Q265" i="17" s="1"/>
  <c r="Q266" i="17" s="1"/>
  <c r="Q267" i="17" s="1"/>
  <c r="Q268" i="17" s="1"/>
  <c r="Q269" i="17" s="1"/>
  <c r="Q270" i="17" s="1"/>
  <c r="Q271" i="17" s="1"/>
  <c r="Q272" i="17" s="1"/>
  <c r="Q273" i="17" s="1"/>
  <c r="Q274" i="17" s="1"/>
  <c r="Q275" i="17" s="1"/>
  <c r="Q276" i="17" s="1"/>
  <c r="Q277" i="17" s="1"/>
  <c r="Q278" i="17" s="1"/>
  <c r="Q279" i="17" s="1"/>
  <c r="Q280" i="17" s="1"/>
  <c r="Q281" i="17" s="1"/>
  <c r="Q282" i="17" s="1"/>
  <c r="Q283" i="17" s="1"/>
  <c r="Q284" i="17" s="1"/>
  <c r="Q285" i="17" s="1"/>
  <c r="Q286" i="17" s="1"/>
  <c r="Q287" i="17" s="1"/>
  <c r="Q288" i="17" s="1"/>
  <c r="Q289" i="17" s="1"/>
  <c r="Q290" i="17" s="1"/>
  <c r="Q291" i="17" s="1"/>
  <c r="Q292" i="17" s="1"/>
  <c r="Q293" i="17" s="1"/>
  <c r="Q294" i="17" s="1"/>
  <c r="Q295" i="17" s="1"/>
  <c r="Q296" i="17" s="1"/>
  <c r="Q297" i="17" s="1"/>
  <c r="Q298" i="17" s="1"/>
  <c r="Q299" i="17" s="1"/>
  <c r="Q300" i="17" s="1"/>
  <c r="Q301" i="17" s="1"/>
  <c r="Q302" i="17" s="1"/>
  <c r="Q303" i="17" s="1"/>
  <c r="Q304" i="17" s="1"/>
  <c r="Q305" i="17" s="1"/>
  <c r="Q306" i="17" s="1"/>
  <c r="Q307" i="17" s="1"/>
  <c r="Q308" i="17" s="1"/>
  <c r="Q309" i="17" s="1"/>
  <c r="Q310" i="17" s="1"/>
  <c r="Q311" i="17" s="1"/>
  <c r="Q312" i="17" s="1"/>
  <c r="Q313" i="17" s="1"/>
  <c r="Q314" i="17" s="1"/>
  <c r="Q315" i="17" s="1"/>
  <c r="Q316" i="17" s="1"/>
  <c r="Q317" i="17" s="1"/>
  <c r="Q318" i="17" s="1"/>
  <c r="Q319" i="17" s="1"/>
  <c r="Q320" i="17" s="1"/>
  <c r="Q321" i="17" s="1"/>
  <c r="Q322" i="17" s="1"/>
  <c r="Q323" i="17" s="1"/>
  <c r="Q324" i="17" s="1"/>
  <c r="Q325" i="17" s="1"/>
  <c r="Q326" i="17" s="1"/>
  <c r="Q327" i="17" s="1"/>
  <c r="Q328" i="17" s="1"/>
  <c r="Q329" i="17" s="1"/>
  <c r="Q330" i="17" s="1"/>
  <c r="Q331" i="17" s="1"/>
  <c r="Q332" i="17" s="1"/>
  <c r="Q333" i="17" s="1"/>
  <c r="Q334" i="17" s="1"/>
  <c r="Q335" i="17" s="1"/>
  <c r="Q336" i="17" s="1"/>
  <c r="Q337" i="17" s="1"/>
  <c r="Q338" i="17" s="1"/>
  <c r="Q339" i="17" s="1"/>
  <c r="Q340" i="17" s="1"/>
  <c r="Q341" i="17" s="1"/>
  <c r="Q342" i="17" s="1"/>
  <c r="Q343" i="17" s="1"/>
  <c r="Q344" i="17" s="1"/>
  <c r="Q345" i="17" s="1"/>
  <c r="Q346" i="17" s="1"/>
  <c r="Q347" i="17" s="1"/>
  <c r="Q348" i="17" s="1"/>
  <c r="Q349" i="17" s="1"/>
  <c r="Q350" i="17" s="1"/>
  <c r="Q351" i="17" s="1"/>
  <c r="Q352" i="17" s="1"/>
  <c r="Q353" i="17" s="1"/>
  <c r="Q354" i="17" s="1"/>
  <c r="Q355" i="17" s="1"/>
  <c r="Q356" i="17" s="1"/>
  <c r="Q357" i="17" s="1"/>
  <c r="Q358" i="17" s="1"/>
  <c r="Q359" i="17" s="1"/>
  <c r="Q360" i="17" s="1"/>
  <c r="Q361" i="17" s="1"/>
  <c r="Q362" i="17" s="1"/>
  <c r="Q363" i="17" s="1"/>
  <c r="Q364" i="17" s="1"/>
  <c r="Q365" i="17" s="1"/>
  <c r="Q366" i="17" s="1"/>
  <c r="Q367" i="17" s="1"/>
  <c r="Q368" i="17" s="1"/>
  <c r="Q369" i="17" s="1"/>
  <c r="Q370" i="17" s="1"/>
  <c r="Q371" i="17" s="1"/>
  <c r="Q372" i="17" s="1"/>
  <c r="Q373" i="17" s="1"/>
  <c r="Q374" i="17" s="1"/>
  <c r="Q375" i="17" s="1"/>
  <c r="Q376" i="17" s="1"/>
  <c r="Q377" i="17" s="1"/>
  <c r="Q378" i="17" s="1"/>
  <c r="Q379" i="17" s="1"/>
  <c r="Q380" i="17" s="1"/>
  <c r="Q381" i="17" s="1"/>
  <c r="Q382" i="17" s="1"/>
  <c r="Q383" i="17" s="1"/>
  <c r="Q384" i="17" s="1"/>
  <c r="Q385" i="17" s="1"/>
  <c r="Q386" i="17" s="1"/>
  <c r="Q387" i="17" s="1"/>
  <c r="Q388" i="17" s="1"/>
  <c r="Q389" i="17" s="1"/>
  <c r="Q390" i="17" s="1"/>
  <c r="Q391" i="17" s="1"/>
  <c r="Q392" i="17" s="1"/>
  <c r="Q393" i="17" s="1"/>
  <c r="Q394" i="17" s="1"/>
  <c r="Q395" i="17" s="1"/>
  <c r="Q396" i="17" s="1"/>
  <c r="Q397" i="17" s="1"/>
  <c r="Q398" i="17" s="1"/>
  <c r="Q399" i="17" s="1"/>
  <c r="Q400" i="17" s="1"/>
  <c r="Q401" i="17" s="1"/>
  <c r="Q402" i="17" s="1"/>
  <c r="Q403" i="17" s="1"/>
  <c r="Q404" i="17" s="1"/>
  <c r="Q405" i="17" s="1"/>
  <c r="Q406" i="17" s="1"/>
  <c r="Q407" i="17" s="1"/>
  <c r="Q408" i="17" s="1"/>
  <c r="Q409" i="17" s="1"/>
  <c r="Q410" i="17" s="1"/>
  <c r="Q411" i="17" s="1"/>
  <c r="Q412" i="17" s="1"/>
  <c r="Q413" i="17" s="1"/>
  <c r="Q414" i="17" s="1"/>
  <c r="Q415" i="17" s="1"/>
  <c r="Q416" i="17" s="1"/>
  <c r="Q417" i="17" s="1"/>
  <c r="Q418" i="17" s="1"/>
  <c r="Q419" i="17" s="1"/>
  <c r="Q420" i="17" s="1"/>
  <c r="Q421" i="17" s="1"/>
  <c r="Q422" i="17" s="1"/>
  <c r="Q423" i="17" s="1"/>
  <c r="Q424" i="17" s="1"/>
  <c r="Q425" i="17" s="1"/>
  <c r="Q426" i="17" s="1"/>
  <c r="Q427" i="17" s="1"/>
  <c r="Q428" i="17" s="1"/>
  <c r="Q429" i="17" s="1"/>
  <c r="Q430" i="17" s="1"/>
  <c r="Q431" i="17" s="1"/>
  <c r="Q432" i="17" s="1"/>
  <c r="Q433" i="17" s="1"/>
  <c r="Q434" i="17" s="1"/>
  <c r="Q435" i="17" s="1"/>
  <c r="Q436" i="17" s="1"/>
  <c r="Q437" i="17" s="1"/>
  <c r="Q438" i="17" s="1"/>
  <c r="Q439" i="17" s="1"/>
  <c r="Q440" i="17" s="1"/>
  <c r="Q441" i="17" s="1"/>
  <c r="Q442" i="17" s="1"/>
  <c r="Q443" i="17" s="1"/>
  <c r="Q444" i="17" s="1"/>
  <c r="Q445" i="17" s="1"/>
  <c r="Q446" i="17" s="1"/>
  <c r="Q447" i="17" s="1"/>
  <c r="Q448" i="17" s="1"/>
  <c r="Q449" i="17" s="1"/>
  <c r="Q450" i="17" s="1"/>
  <c r="Q451" i="17" s="1"/>
  <c r="Q452" i="17" s="1"/>
  <c r="Q453" i="17" s="1"/>
  <c r="Q454" i="17" s="1"/>
  <c r="Q455" i="17" s="1"/>
  <c r="Q456" i="17" s="1"/>
  <c r="Q457" i="17" s="1"/>
  <c r="Q458" i="17" s="1"/>
  <c r="Q459" i="17" s="1"/>
  <c r="Q460" i="17" s="1"/>
  <c r="Q461" i="17" s="1"/>
  <c r="Q462" i="17" s="1"/>
  <c r="Q463" i="17" s="1"/>
  <c r="Q464" i="17" s="1"/>
  <c r="Q465" i="17" s="1"/>
  <c r="Q466" i="17" s="1"/>
  <c r="Q467" i="17" s="1"/>
  <c r="Q468" i="17" s="1"/>
  <c r="Q469" i="17" s="1"/>
  <c r="Q470" i="17" s="1"/>
  <c r="Q471" i="17" s="1"/>
  <c r="Q472" i="17" s="1"/>
  <c r="Q473" i="17" s="1"/>
  <c r="Q474" i="17" s="1"/>
  <c r="Q475" i="17" s="1"/>
  <c r="Q476" i="17" s="1"/>
  <c r="Q477" i="17" s="1"/>
  <c r="Q478" i="17" s="1"/>
  <c r="Q479" i="17" s="1"/>
  <c r="Q480" i="17" s="1"/>
  <c r="Q481" i="17" s="1"/>
  <c r="Q482" i="17" s="1"/>
  <c r="Q483" i="17" s="1"/>
  <c r="Q484" i="17" s="1"/>
  <c r="Q485" i="17" s="1"/>
  <c r="Q486" i="17" s="1"/>
  <c r="Q487" i="17" s="1"/>
  <c r="Q488" i="17" s="1"/>
  <c r="Q489" i="17" s="1"/>
  <c r="Q490" i="17" s="1"/>
  <c r="Q491" i="17" s="1"/>
  <c r="Q492" i="17" s="1"/>
  <c r="Q493" i="17" s="1"/>
  <c r="Q494" i="17" s="1"/>
  <c r="Q495" i="17" s="1"/>
  <c r="Q496" i="17" s="1"/>
  <c r="Q497" i="17" s="1"/>
  <c r="Q498" i="17" s="1"/>
  <c r="Q499" i="17" s="1"/>
  <c r="Q500" i="17" s="1"/>
  <c r="G2" i="17"/>
  <c r="F2" i="17"/>
  <c r="E2" i="17"/>
  <c r="G21" i="1"/>
  <c r="Q31" i="16"/>
  <c r="K369" i="17" l="1"/>
  <c r="K22" i="17"/>
  <c r="K247" i="17"/>
  <c r="K401" i="17"/>
  <c r="K427" i="17"/>
  <c r="J447" i="17"/>
  <c r="K447" i="17"/>
  <c r="J222" i="17"/>
  <c r="J276" i="17"/>
  <c r="K281" i="17"/>
  <c r="K333" i="17"/>
  <c r="K238" i="17"/>
  <c r="J268" i="17"/>
  <c r="J371" i="17"/>
  <c r="K371" i="17"/>
  <c r="K149" i="17"/>
  <c r="J246" i="17"/>
  <c r="J120" i="17"/>
  <c r="K229" i="17"/>
  <c r="K413" i="17"/>
  <c r="K252" i="17"/>
  <c r="J201" i="17"/>
  <c r="K201" i="17"/>
  <c r="J133" i="17"/>
  <c r="K133" i="17"/>
  <c r="K439" i="17"/>
  <c r="J439" i="17"/>
  <c r="K244" i="17"/>
  <c r="J248" i="17"/>
  <c r="J284" i="17"/>
  <c r="J340" i="17"/>
  <c r="K355" i="17"/>
  <c r="K365" i="17"/>
  <c r="J404" i="17"/>
  <c r="J406" i="17"/>
  <c r="K152" i="17"/>
  <c r="K265" i="17"/>
  <c r="K289" i="17"/>
  <c r="K331" i="17"/>
  <c r="K393" i="17"/>
  <c r="K446" i="17"/>
  <c r="K137" i="17"/>
  <c r="K263" i="17"/>
  <c r="K398" i="17"/>
  <c r="K433" i="17"/>
  <c r="K127" i="17"/>
  <c r="J243" i="17"/>
  <c r="J254" i="17"/>
  <c r="J256" i="17"/>
  <c r="K310" i="17"/>
  <c r="K317" i="17"/>
  <c r="K385" i="17"/>
  <c r="K387" i="17"/>
  <c r="K235" i="17"/>
  <c r="J235" i="17"/>
  <c r="J221" i="17"/>
  <c r="K221" i="17"/>
  <c r="J95" i="17"/>
  <c r="K95" i="17"/>
  <c r="J87" i="17"/>
  <c r="K87" i="17"/>
  <c r="J91" i="17"/>
  <c r="K91" i="17"/>
  <c r="K134" i="17"/>
  <c r="J134" i="17"/>
  <c r="K177" i="17"/>
  <c r="K407" i="17"/>
  <c r="J407" i="17"/>
  <c r="J107" i="17"/>
  <c r="K107" i="17"/>
  <c r="J173" i="17"/>
  <c r="J176" i="17"/>
  <c r="K176" i="17"/>
  <c r="K197" i="17"/>
  <c r="J197" i="17"/>
  <c r="K214" i="17"/>
  <c r="J214" i="17"/>
  <c r="K322" i="17"/>
  <c r="J322" i="17"/>
  <c r="K330" i="17"/>
  <c r="J330" i="17"/>
  <c r="J376" i="17"/>
  <c r="K376" i="17"/>
  <c r="K423" i="17"/>
  <c r="J423" i="17"/>
  <c r="J442" i="17"/>
  <c r="K442" i="17"/>
  <c r="K162" i="17"/>
  <c r="J162" i="17"/>
  <c r="J200" i="17"/>
  <c r="K200" i="17"/>
  <c r="K375" i="17"/>
  <c r="J375" i="17"/>
  <c r="J132" i="17"/>
  <c r="K299" i="17"/>
  <c r="J299" i="17"/>
  <c r="K311" i="17"/>
  <c r="J311" i="17"/>
  <c r="K323" i="17"/>
  <c r="J323" i="17"/>
  <c r="J327" i="17"/>
  <c r="K327" i="17"/>
  <c r="K354" i="17"/>
  <c r="J354" i="17"/>
  <c r="J374" i="17"/>
  <c r="K374" i="17"/>
  <c r="J99" i="17"/>
  <c r="K99" i="17"/>
  <c r="K129" i="17"/>
  <c r="K211" i="17"/>
  <c r="J24" i="17"/>
  <c r="J128" i="17"/>
  <c r="K148" i="17"/>
  <c r="K169" i="17"/>
  <c r="K270" i="17"/>
  <c r="J270" i="17"/>
  <c r="J302" i="17"/>
  <c r="K302" i="17"/>
  <c r="K307" i="17"/>
  <c r="J307" i="17"/>
  <c r="K325" i="17"/>
  <c r="K157" i="17"/>
  <c r="J157" i="17"/>
  <c r="J119" i="17"/>
  <c r="K119" i="17"/>
  <c r="J241" i="17"/>
  <c r="K241" i="17"/>
  <c r="J115" i="17"/>
  <c r="K115" i="17"/>
  <c r="J103" i="17"/>
  <c r="K103" i="17"/>
  <c r="J124" i="17"/>
  <c r="J146" i="17"/>
  <c r="J165" i="17"/>
  <c r="K193" i="17"/>
  <c r="K251" i="17"/>
  <c r="J251" i="17"/>
  <c r="J297" i="17"/>
  <c r="K297" i="17"/>
  <c r="K326" i="17"/>
  <c r="J326" i="17"/>
  <c r="K388" i="17"/>
  <c r="J388" i="17"/>
  <c r="J412" i="17"/>
  <c r="K420" i="17"/>
  <c r="J420" i="17"/>
  <c r="K434" i="17"/>
  <c r="J434" i="17"/>
  <c r="J23" i="17"/>
  <c r="J140" i="17"/>
  <c r="K140" i="17"/>
  <c r="K233" i="17"/>
  <c r="K294" i="17"/>
  <c r="K316" i="17"/>
  <c r="J316" i="17"/>
  <c r="K366" i="17"/>
  <c r="J370" i="17"/>
  <c r="K438" i="17"/>
  <c r="J438" i="17"/>
  <c r="J301" i="17"/>
  <c r="K301" i="17"/>
  <c r="K42" i="17"/>
  <c r="J111" i="17"/>
  <c r="K111" i="17"/>
  <c r="J123" i="17"/>
  <c r="K123" i="17"/>
  <c r="J136" i="17"/>
  <c r="K136" i="17"/>
  <c r="J192" i="17"/>
  <c r="K192" i="17"/>
  <c r="J205" i="17"/>
  <c r="J213" i="17"/>
  <c r="K213" i="17"/>
  <c r="J226" i="17"/>
  <c r="K292" i="17"/>
  <c r="K314" i="17"/>
  <c r="J314" i="17"/>
  <c r="K342" i="17"/>
  <c r="J345" i="17"/>
  <c r="K345" i="17"/>
  <c r="J350" i="17"/>
  <c r="K350" i="17"/>
  <c r="J359" i="17"/>
  <c r="J386" i="17"/>
  <c r="K408" i="17"/>
  <c r="K430" i="17"/>
  <c r="J430" i="17"/>
  <c r="K232" i="17"/>
  <c r="J232" i="17"/>
  <c r="J377" i="17"/>
  <c r="K223" i="17"/>
  <c r="K313" i="17"/>
  <c r="J170" i="17"/>
  <c r="J178" i="17"/>
  <c r="J358" i="17"/>
  <c r="J455" i="17"/>
  <c r="K457" i="17"/>
  <c r="K320" i="17"/>
  <c r="K349" i="17"/>
  <c r="K353" i="17"/>
  <c r="J425" i="17"/>
  <c r="K21" i="17"/>
  <c r="J21" i="17"/>
  <c r="K19" i="17"/>
  <c r="J19" i="17"/>
  <c r="J10" i="17"/>
  <c r="K10" i="17"/>
  <c r="K18" i="17"/>
  <c r="J18" i="17"/>
  <c r="K20" i="17"/>
  <c r="J20" i="17"/>
  <c r="K15" i="17"/>
  <c r="K16" i="17"/>
  <c r="J16" i="17"/>
  <c r="K27" i="17"/>
  <c r="J27" i="17"/>
  <c r="K37" i="17"/>
  <c r="J37" i="17"/>
  <c r="K44" i="17"/>
  <c r="J44" i="17"/>
  <c r="K13" i="17"/>
  <c r="J13" i="17"/>
  <c r="J145" i="17"/>
  <c r="K145" i="17"/>
  <c r="J14" i="17"/>
  <c r="K14" i="17"/>
  <c r="K131" i="17"/>
  <c r="J131" i="17"/>
  <c r="K45" i="17"/>
  <c r="J45" i="17"/>
  <c r="K135" i="17"/>
  <c r="J135" i="17"/>
  <c r="K199" i="17"/>
  <c r="J199" i="17"/>
  <c r="J38" i="17"/>
  <c r="K38" i="17"/>
  <c r="J41" i="17"/>
  <c r="K41" i="17"/>
  <c r="K36" i="17"/>
  <c r="J36" i="17"/>
  <c r="K150" i="17"/>
  <c r="J150" i="17"/>
  <c r="K191" i="17"/>
  <c r="J191" i="17"/>
  <c r="J46" i="17"/>
  <c r="K46" i="17"/>
  <c r="K159" i="17"/>
  <c r="J159" i="17"/>
  <c r="J12" i="17"/>
  <c r="K12" i="17"/>
  <c r="K138" i="17"/>
  <c r="J138" i="17"/>
  <c r="J59" i="17"/>
  <c r="J60" i="17"/>
  <c r="K61" i="17"/>
  <c r="J78" i="17"/>
  <c r="J82" i="17"/>
  <c r="J86" i="17"/>
  <c r="J90" i="17"/>
  <c r="J94" i="17"/>
  <c r="J98" i="17"/>
  <c r="J102" i="17"/>
  <c r="J106" i="17"/>
  <c r="J110" i="17"/>
  <c r="J114" i="17"/>
  <c r="J118" i="17"/>
  <c r="J122" i="17"/>
  <c r="J126" i="17"/>
  <c r="J143" i="17"/>
  <c r="J154" i="17"/>
  <c r="J164" i="17"/>
  <c r="K164" i="17"/>
  <c r="J167" i="17"/>
  <c r="K185" i="17"/>
  <c r="K190" i="17"/>
  <c r="K194" i="17"/>
  <c r="J194" i="17"/>
  <c r="K47" i="17"/>
  <c r="I29" i="17"/>
  <c r="J31" i="17"/>
  <c r="J66" i="17"/>
  <c r="K25" i="17"/>
  <c r="J26" i="17"/>
  <c r="J156" i="17"/>
  <c r="K156" i="17"/>
  <c r="K182" i="17"/>
  <c r="J187" i="17"/>
  <c r="K240" i="17"/>
  <c r="J240" i="17"/>
  <c r="J250" i="17"/>
  <c r="K250" i="17"/>
  <c r="K17" i="17"/>
  <c r="K67" i="17"/>
  <c r="I28" i="17"/>
  <c r="I30" i="17"/>
  <c r="I32" i="17"/>
  <c r="K7" i="17"/>
  <c r="J8" i="17"/>
  <c r="I9" i="17"/>
  <c r="I35" i="17"/>
  <c r="J39" i="17"/>
  <c r="I40" i="17"/>
  <c r="J55" i="17"/>
  <c r="J56" i="17"/>
  <c r="K57" i="17"/>
  <c r="K65" i="17"/>
  <c r="K69" i="17"/>
  <c r="K73" i="17"/>
  <c r="K77" i="17"/>
  <c r="K81" i="17"/>
  <c r="K85" i="17"/>
  <c r="K89" i="17"/>
  <c r="K93" i="17"/>
  <c r="K97" i="17"/>
  <c r="K101" i="17"/>
  <c r="K105" i="17"/>
  <c r="K109" i="17"/>
  <c r="K113" i="17"/>
  <c r="K117" i="17"/>
  <c r="K121" i="17"/>
  <c r="K125" i="17"/>
  <c r="J139" i="17"/>
  <c r="J142" i="17"/>
  <c r="J151" i="17"/>
  <c r="K174" i="17"/>
  <c r="J179" i="17"/>
  <c r="K184" i="17"/>
  <c r="J196" i="17"/>
  <c r="K196" i="17"/>
  <c r="K198" i="17"/>
  <c r="J198" i="17"/>
  <c r="K202" i="17"/>
  <c r="J202" i="17"/>
  <c r="K207" i="17"/>
  <c r="K79" i="17"/>
  <c r="K83" i="17"/>
  <c r="I50" i="17"/>
  <c r="J33" i="17"/>
  <c r="J34" i="17"/>
  <c r="I51" i="17"/>
  <c r="I52" i="17"/>
  <c r="I62" i="17"/>
  <c r="J68" i="17"/>
  <c r="J76" i="17"/>
  <c r="K161" i="17"/>
  <c r="K166" i="17"/>
  <c r="J171" i="17"/>
  <c r="J189" i="17"/>
  <c r="K224" i="17"/>
  <c r="J224" i="17"/>
  <c r="K63" i="17"/>
  <c r="J70" i="17"/>
  <c r="J74" i="17"/>
  <c r="I6" i="17"/>
  <c r="I11" i="17"/>
  <c r="J64" i="17"/>
  <c r="J72" i="17"/>
  <c r="J80" i="17"/>
  <c r="J84" i="17"/>
  <c r="J88" i="17"/>
  <c r="J92" i="17"/>
  <c r="J96" i="17"/>
  <c r="J100" i="17"/>
  <c r="J104" i="17"/>
  <c r="J108" i="17"/>
  <c r="J112" i="17"/>
  <c r="J116" i="17"/>
  <c r="I43" i="17"/>
  <c r="K53" i="17"/>
  <c r="K141" i="17"/>
  <c r="J147" i="17"/>
  <c r="K153" i="17"/>
  <c r="K158" i="17"/>
  <c r="J163" i="17"/>
  <c r="K168" i="17"/>
  <c r="J181" i="17"/>
  <c r="J186" i="17"/>
  <c r="K195" i="17"/>
  <c r="J195" i="17"/>
  <c r="J204" i="17"/>
  <c r="K204" i="17"/>
  <c r="K206" i="17"/>
  <c r="J206" i="17"/>
  <c r="I58" i="17"/>
  <c r="K144" i="17"/>
  <c r="J155" i="17"/>
  <c r="K160" i="17"/>
  <c r="J188" i="17"/>
  <c r="K188" i="17"/>
  <c r="K210" i="17"/>
  <c r="J210" i="17"/>
  <c r="K218" i="17"/>
  <c r="J218" i="17"/>
  <c r="J266" i="17"/>
  <c r="K266" i="17"/>
  <c r="J48" i="17"/>
  <c r="K49" i="17"/>
  <c r="J71" i="17"/>
  <c r="J75" i="17"/>
  <c r="J180" i="17"/>
  <c r="K180" i="17"/>
  <c r="J183" i="17"/>
  <c r="K203" i="17"/>
  <c r="J203" i="17"/>
  <c r="K208" i="17"/>
  <c r="J208" i="17"/>
  <c r="I54" i="17"/>
  <c r="K130" i="17"/>
  <c r="J130" i="17"/>
  <c r="J172" i="17"/>
  <c r="K172" i="17"/>
  <c r="J175" i="17"/>
  <c r="K209" i="17"/>
  <c r="J209" i="17"/>
  <c r="K217" i="17"/>
  <c r="J217" i="17"/>
  <c r="J216" i="17"/>
  <c r="J227" i="17"/>
  <c r="J230" i="17"/>
  <c r="K245" i="17"/>
  <c r="J245" i="17"/>
  <c r="J272" i="17"/>
  <c r="J321" i="17"/>
  <c r="K321" i="17"/>
  <c r="K257" i="17"/>
  <c r="K275" i="17"/>
  <c r="J275" i="17"/>
  <c r="K277" i="17"/>
  <c r="J277" i="17"/>
  <c r="J279" i="17"/>
  <c r="K279" i="17"/>
  <c r="J319" i="17"/>
  <c r="K319" i="17"/>
  <c r="K348" i="17"/>
  <c r="J348" i="17"/>
  <c r="K215" i="17"/>
  <c r="J239" i="17"/>
  <c r="K239" i="17"/>
  <c r="K271" i="17"/>
  <c r="J271" i="17"/>
  <c r="K308" i="17"/>
  <c r="J308" i="17"/>
  <c r="J360" i="17"/>
  <c r="K360" i="17"/>
  <c r="J212" i="17"/>
  <c r="J220" i="17"/>
  <c r="K234" i="17"/>
  <c r="J234" i="17"/>
  <c r="K237" i="17"/>
  <c r="J242" i="17"/>
  <c r="K300" i="17"/>
  <c r="J300" i="17"/>
  <c r="J303" i="17"/>
  <c r="K303" i="17"/>
  <c r="J344" i="17"/>
  <c r="K344" i="17"/>
  <c r="J363" i="17"/>
  <c r="K363" i="17"/>
  <c r="J225" i="17"/>
  <c r="K231" i="17"/>
  <c r="K253" i="17"/>
  <c r="J253" i="17"/>
  <c r="J260" i="17"/>
  <c r="K273" i="17"/>
  <c r="J282" i="17"/>
  <c r="K282" i="17"/>
  <c r="K357" i="17"/>
  <c r="J357" i="17"/>
  <c r="J228" i="17"/>
  <c r="J236" i="17"/>
  <c r="K249" i="17"/>
  <c r="K262" i="17"/>
  <c r="J262" i="17"/>
  <c r="J264" i="17"/>
  <c r="K264" i="17"/>
  <c r="K288" i="17"/>
  <c r="J288" i="17"/>
  <c r="K291" i="17"/>
  <c r="J291" i="17"/>
  <c r="K324" i="17"/>
  <c r="J324" i="17"/>
  <c r="K259" i="17"/>
  <c r="J259" i="17"/>
  <c r="K261" i="17"/>
  <c r="J261" i="17"/>
  <c r="K267" i="17"/>
  <c r="J267" i="17"/>
  <c r="K293" i="17"/>
  <c r="J293" i="17"/>
  <c r="K336" i="17"/>
  <c r="J336" i="17"/>
  <c r="K364" i="17"/>
  <c r="J364" i="17"/>
  <c r="J219" i="17"/>
  <c r="K255" i="17"/>
  <c r="J255" i="17"/>
  <c r="K269" i="17"/>
  <c r="J269" i="17"/>
  <c r="J280" i="17"/>
  <c r="K280" i="17"/>
  <c r="K283" i="17"/>
  <c r="J283" i="17"/>
  <c r="K285" i="17"/>
  <c r="J285" i="17"/>
  <c r="J295" i="17"/>
  <c r="K295" i="17"/>
  <c r="J305" i="17"/>
  <c r="K305" i="17"/>
  <c r="K332" i="17"/>
  <c r="J332" i="17"/>
  <c r="J339" i="17"/>
  <c r="K339" i="17"/>
  <c r="J286" i="17"/>
  <c r="K312" i="17"/>
  <c r="K315" i="17"/>
  <c r="J318" i="17"/>
  <c r="J334" i="17"/>
  <c r="J337" i="17"/>
  <c r="J343" i="17"/>
  <c r="K351" i="17"/>
  <c r="J362" i="17"/>
  <c r="K362" i="17"/>
  <c r="K367" i="17"/>
  <c r="J381" i="17"/>
  <c r="K381" i="17"/>
  <c r="K258" i="17"/>
  <c r="K274" i="17"/>
  <c r="J278" i="17"/>
  <c r="K290" i="17"/>
  <c r="J298" i="17"/>
  <c r="K304" i="17"/>
  <c r="K328" i="17"/>
  <c r="J379" i="17"/>
  <c r="K379" i="17"/>
  <c r="K390" i="17"/>
  <c r="J390" i="17"/>
  <c r="K395" i="17"/>
  <c r="J383" i="17"/>
  <c r="K383" i="17"/>
  <c r="J394" i="17"/>
  <c r="K394" i="17"/>
  <c r="K396" i="17"/>
  <c r="J396" i="17"/>
  <c r="K341" i="17"/>
  <c r="J341" i="17"/>
  <c r="J378" i="17"/>
  <c r="K378" i="17"/>
  <c r="J392" i="17"/>
  <c r="K400" i="17"/>
  <c r="J400" i="17"/>
  <c r="J306" i="17"/>
  <c r="J309" i="17"/>
  <c r="J338" i="17"/>
  <c r="K384" i="17"/>
  <c r="J384" i="17"/>
  <c r="J287" i="17"/>
  <c r="K296" i="17"/>
  <c r="K335" i="17"/>
  <c r="K347" i="17"/>
  <c r="J352" i="17"/>
  <c r="J361" i="17"/>
  <c r="J368" i="17"/>
  <c r="K373" i="17"/>
  <c r="J373" i="17"/>
  <c r="J380" i="17"/>
  <c r="J382" i="17"/>
  <c r="J397" i="17"/>
  <c r="K397" i="17"/>
  <c r="K329" i="17"/>
  <c r="J346" i="17"/>
  <c r="K346" i="17"/>
  <c r="K356" i="17"/>
  <c r="J356" i="17"/>
  <c r="K372" i="17"/>
  <c r="J372" i="17"/>
  <c r="J391" i="17"/>
  <c r="K403" i="17"/>
  <c r="J414" i="17"/>
  <c r="J424" i="17"/>
  <c r="K429" i="17"/>
  <c r="J431" i="17"/>
  <c r="K431" i="17"/>
  <c r="J409" i="17"/>
  <c r="J402" i="17"/>
  <c r="K411" i="17"/>
  <c r="J416" i="17"/>
  <c r="K440" i="17"/>
  <c r="K399" i="17"/>
  <c r="J418" i="17"/>
  <c r="J428" i="17"/>
  <c r="K441" i="17"/>
  <c r="J441" i="17"/>
  <c r="K389" i="17"/>
  <c r="J389" i="17"/>
  <c r="J415" i="17"/>
  <c r="K415" i="17"/>
  <c r="K436" i="17"/>
  <c r="J436" i="17"/>
  <c r="K422" i="17"/>
  <c r="K421" i="17"/>
  <c r="J421" i="17"/>
  <c r="J432" i="17"/>
  <c r="K444" i="17"/>
  <c r="J444" i="17"/>
  <c r="K405" i="17"/>
  <c r="J405" i="17"/>
  <c r="K417" i="17"/>
  <c r="J419" i="17"/>
  <c r="K419" i="17"/>
  <c r="J435" i="17"/>
  <c r="K435" i="17"/>
  <c r="K448" i="17"/>
  <c r="J448" i="17"/>
  <c r="K452" i="17"/>
  <c r="J452" i="17"/>
  <c r="K456" i="17"/>
  <c r="K445" i="17"/>
  <c r="J450" i="17"/>
  <c r="J437" i="17"/>
  <c r="K410" i="17"/>
  <c r="K426" i="17"/>
  <c r="K454" i="17"/>
  <c r="J449" i="17"/>
  <c r="J451" i="17"/>
  <c r="K451" i="17"/>
  <c r="K443" i="17"/>
  <c r="K453" i="17"/>
  <c r="J453" i="17"/>
  <c r="K459" i="17"/>
  <c r="J459" i="17"/>
  <c r="J465" i="17"/>
  <c r="K479" i="17"/>
  <c r="J479" i="17"/>
  <c r="K492" i="17"/>
  <c r="J492" i="17"/>
  <c r="K496" i="17"/>
  <c r="J496" i="17"/>
  <c r="K498" i="17"/>
  <c r="K468" i="17"/>
  <c r="J468" i="17"/>
  <c r="K472" i="17"/>
  <c r="J472" i="17"/>
  <c r="K474" i="17"/>
  <c r="K477" i="17"/>
  <c r="J477" i="17"/>
  <c r="K499" i="17"/>
  <c r="J499" i="17"/>
  <c r="K475" i="17"/>
  <c r="J475" i="17"/>
  <c r="J481" i="17"/>
  <c r="K495" i="17"/>
  <c r="J495" i="17"/>
  <c r="K471" i="17"/>
  <c r="J471" i="17"/>
  <c r="K484" i="17"/>
  <c r="J484" i="17"/>
  <c r="K488" i="17"/>
  <c r="J488" i="17"/>
  <c r="K490" i="17"/>
  <c r="K493" i="17"/>
  <c r="J493" i="17"/>
  <c r="K460" i="17"/>
  <c r="J460" i="17"/>
  <c r="K464" i="17"/>
  <c r="J464" i="17"/>
  <c r="K466" i="17"/>
  <c r="K469" i="17"/>
  <c r="J469" i="17"/>
  <c r="K491" i="17"/>
  <c r="J491" i="17"/>
  <c r="J497" i="17"/>
  <c r="K467" i="17"/>
  <c r="J467" i="17"/>
  <c r="J473" i="17"/>
  <c r="K487" i="17"/>
  <c r="J487" i="17"/>
  <c r="K500" i="17"/>
  <c r="J500" i="17"/>
  <c r="K458" i="17"/>
  <c r="K463" i="17"/>
  <c r="J463" i="17"/>
  <c r="K476" i="17"/>
  <c r="J476" i="17"/>
  <c r="K480" i="17"/>
  <c r="J480" i="17"/>
  <c r="K482" i="17"/>
  <c r="K485" i="17"/>
  <c r="J485" i="17"/>
  <c r="K461" i="17"/>
  <c r="J461" i="17"/>
  <c r="K483" i="17"/>
  <c r="J483" i="17"/>
  <c r="J489" i="17"/>
  <c r="J462" i="17"/>
  <c r="J470" i="17"/>
  <c r="J478" i="17"/>
  <c r="J486" i="17"/>
  <c r="J494" i="17"/>
  <c r="K54" i="17" l="1"/>
  <c r="J54" i="17"/>
  <c r="K58" i="17"/>
  <c r="J58" i="17"/>
  <c r="J11" i="17"/>
  <c r="K11" i="17"/>
  <c r="J50" i="17"/>
  <c r="K50" i="17"/>
  <c r="K35" i="17"/>
  <c r="J35" i="17"/>
  <c r="K9" i="17"/>
  <c r="J9" i="17"/>
  <c r="J6" i="17"/>
  <c r="K6" i="17"/>
  <c r="J62" i="17"/>
  <c r="K62" i="17"/>
  <c r="K52" i="17"/>
  <c r="J52" i="17"/>
  <c r="J51" i="17"/>
  <c r="K51" i="17"/>
  <c r="K43" i="17"/>
  <c r="J43" i="17"/>
  <c r="K32" i="17"/>
  <c r="J32" i="17"/>
  <c r="K40" i="17"/>
  <c r="J40" i="17"/>
  <c r="J30" i="17"/>
  <c r="R14" i="17" s="1"/>
  <c r="T14" i="17" s="1"/>
  <c r="K30" i="17"/>
  <c r="K29" i="17"/>
  <c r="J29" i="17"/>
  <c r="K28" i="17"/>
  <c r="J28" i="17"/>
  <c r="R6" i="17" l="1"/>
  <c r="T6" i="17" s="1"/>
  <c r="R24" i="17"/>
  <c r="T24" i="17" s="1"/>
  <c r="R38" i="17"/>
  <c r="T38" i="17" s="1"/>
  <c r="R42" i="17"/>
  <c r="T42" i="17" s="1"/>
  <c r="R32" i="17"/>
  <c r="T32" i="17" s="1"/>
  <c r="R11" i="17"/>
  <c r="T11" i="17" s="1"/>
  <c r="R10" i="17"/>
  <c r="T10" i="17" s="1"/>
  <c r="R62" i="17"/>
  <c r="T62" i="17" s="1"/>
  <c r="R45" i="17"/>
  <c r="T45" i="17" s="1"/>
  <c r="R41" i="17"/>
  <c r="T41" i="17" s="1"/>
  <c r="R49" i="17"/>
  <c r="T49" i="17" s="1"/>
  <c r="R9" i="17"/>
  <c r="T9" i="17" s="1"/>
  <c r="R58" i="17"/>
  <c r="T58" i="17" s="1"/>
  <c r="R52" i="17"/>
  <c r="T52" i="17" s="1"/>
  <c r="R51" i="17"/>
  <c r="T51" i="17" s="1"/>
  <c r="R33" i="17"/>
  <c r="T33" i="17" s="1"/>
  <c r="R30" i="17"/>
  <c r="T30" i="17" s="1"/>
  <c r="R8" i="17"/>
  <c r="T8" i="17" s="1"/>
  <c r="R39" i="17"/>
  <c r="T39" i="17" s="1"/>
  <c r="R43" i="17"/>
  <c r="T43" i="17" s="1"/>
  <c r="R16" i="17"/>
  <c r="T16" i="17" s="1"/>
  <c r="R59" i="17"/>
  <c r="T59" i="17" s="1"/>
  <c r="R48" i="17"/>
  <c r="T48" i="17" s="1"/>
  <c r="R56" i="17"/>
  <c r="T56" i="17" s="1"/>
  <c r="R23" i="17"/>
  <c r="T23" i="17" s="1"/>
  <c r="R44" i="17"/>
  <c r="T44" i="17" s="1"/>
  <c r="R37" i="17"/>
  <c r="T37" i="17" s="1"/>
  <c r="R13" i="17"/>
  <c r="T13" i="17" s="1"/>
  <c r="R61" i="17"/>
  <c r="T61" i="17" s="1"/>
  <c r="R25" i="17"/>
  <c r="T25" i="17" s="1"/>
  <c r="R20" i="17"/>
  <c r="T20" i="17" s="1"/>
  <c r="R57" i="17"/>
  <c r="T57" i="17" s="1"/>
  <c r="R31" i="17"/>
  <c r="T31" i="17" s="1"/>
  <c r="R21" i="17"/>
  <c r="T21" i="17" s="1"/>
  <c r="R22" i="17"/>
  <c r="T22" i="17" s="1"/>
  <c r="R46" i="17"/>
  <c r="T46" i="17" s="1"/>
  <c r="R55" i="17"/>
  <c r="T55" i="17" s="1"/>
  <c r="R7" i="17"/>
  <c r="T7" i="17" s="1"/>
  <c r="R35" i="17"/>
  <c r="T35" i="17" s="1"/>
  <c r="R54" i="17"/>
  <c r="T54" i="17" s="1"/>
  <c r="R47" i="17"/>
  <c r="T47" i="17" s="1"/>
  <c r="R19" i="17"/>
  <c r="T19" i="17" s="1"/>
  <c r="R17" i="17"/>
  <c r="T17" i="17" s="1"/>
  <c r="R12" i="17"/>
  <c r="T12" i="17" s="1"/>
  <c r="R27" i="17"/>
  <c r="T27" i="17" s="1"/>
  <c r="R18" i="17"/>
  <c r="T18" i="17" s="1"/>
  <c r="R60" i="17"/>
  <c r="T60" i="17" s="1"/>
  <c r="R29" i="17"/>
  <c r="T29" i="17" s="1"/>
  <c r="R36" i="17"/>
  <c r="T36" i="17" s="1"/>
  <c r="R15" i="17"/>
  <c r="T15" i="17" s="1"/>
  <c r="R26" i="17"/>
  <c r="T26" i="17" s="1"/>
  <c r="R28" i="17"/>
  <c r="T28" i="17" s="1"/>
  <c r="R53" i="17"/>
  <c r="T53" i="17" s="1"/>
  <c r="R50" i="17"/>
  <c r="T50" i="17" s="1"/>
  <c r="R34" i="17"/>
  <c r="T34" i="17" s="1"/>
  <c r="R40" i="17"/>
  <c r="T40" i="17" s="1"/>
  <c r="Q2" i="1" l="1"/>
  <c r="O33" i="16"/>
  <c r="I69" i="16" l="1"/>
  <c r="G393" i="4"/>
  <c r="G394" i="4"/>
  <c r="G395" i="4"/>
  <c r="G396" i="4"/>
  <c r="G397" i="4"/>
  <c r="G64" i="1"/>
  <c r="H45" i="16"/>
  <c r="E46" i="1" l="1"/>
  <c r="D35" i="16"/>
  <c r="G66" i="1" l="1"/>
  <c r="F66" i="1"/>
  <c r="E66" i="1"/>
  <c r="G65" i="1"/>
  <c r="F65" i="1"/>
  <c r="E65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49" i="1"/>
  <c r="F49" i="1"/>
  <c r="E49" i="1"/>
  <c r="G48" i="1"/>
  <c r="F48" i="1"/>
  <c r="E48" i="1"/>
  <c r="G47" i="1"/>
  <c r="F47" i="1"/>
  <c r="E47" i="1"/>
  <c r="G46" i="1"/>
  <c r="F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F21" i="1"/>
  <c r="E21" i="1"/>
  <c r="G20" i="1"/>
  <c r="F20" i="1"/>
  <c r="E20" i="1"/>
  <c r="G19" i="1"/>
  <c r="F19" i="1"/>
  <c r="E19" i="1"/>
  <c r="G16" i="1"/>
  <c r="F16" i="1"/>
  <c r="E16" i="1"/>
  <c r="G12" i="1"/>
  <c r="F12" i="1"/>
  <c r="E12" i="1"/>
  <c r="G6" i="1"/>
  <c r="F6" i="1"/>
  <c r="E6" i="1"/>
  <c r="G5" i="1"/>
  <c r="F5" i="1"/>
  <c r="E5" i="1"/>
  <c r="G4" i="1"/>
  <c r="F4" i="1"/>
  <c r="E4" i="1"/>
  <c r="A51" i="16" l="1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50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G376" i="4" l="1"/>
  <c r="Q3" i="1" l="1"/>
  <c r="Q4" i="1" l="1"/>
  <c r="Q5" i="1" l="1"/>
  <c r="D72" i="16"/>
  <c r="C31" i="16"/>
  <c r="H9" i="16"/>
  <c r="H46" i="16" s="1"/>
  <c r="L8" i="16"/>
  <c r="J8" i="16"/>
  <c r="Q6" i="1" l="1"/>
  <c r="F10" i="16"/>
  <c r="F47" i="16" s="1"/>
  <c r="C10" i="16"/>
  <c r="C47" i="16" s="1"/>
  <c r="B73" i="16"/>
  <c r="C9" i="16"/>
  <c r="C46" i="16" s="1"/>
  <c r="C8" i="16"/>
  <c r="C45" i="16" s="1"/>
  <c r="C68" i="16"/>
  <c r="Q7" i="1" l="1"/>
  <c r="Q8" i="1" l="1"/>
  <c r="Q9" i="1" l="1"/>
  <c r="G392" i="4"/>
  <c r="G391" i="4"/>
  <c r="G390" i="4"/>
  <c r="G389" i="4"/>
  <c r="G388" i="4"/>
  <c r="G387" i="4"/>
  <c r="G386" i="4"/>
  <c r="G385" i="4"/>
  <c r="G384" i="4"/>
  <c r="G383" i="4"/>
  <c r="G382" i="4"/>
  <c r="I5" i="17" s="1"/>
  <c r="G381" i="4"/>
  <c r="G380" i="4"/>
  <c r="G379" i="4"/>
  <c r="G378" i="4"/>
  <c r="I3" i="17" s="1"/>
  <c r="G377" i="4"/>
  <c r="G165" i="4"/>
  <c r="G92" i="4"/>
  <c r="G91" i="4"/>
  <c r="G59" i="4"/>
  <c r="G40" i="4"/>
  <c r="G14" i="4"/>
  <c r="G9" i="4"/>
  <c r="K5" i="17" l="1"/>
  <c r="J5" i="17"/>
  <c r="R5" i="17"/>
  <c r="T5" i="17" s="1"/>
  <c r="K3" i="17"/>
  <c r="J3" i="17"/>
  <c r="I4" i="17"/>
  <c r="I19" i="1"/>
  <c r="Q10" i="1"/>
  <c r="G13" i="4"/>
  <c r="J4" i="17" l="1"/>
  <c r="K4" i="17"/>
  <c r="R4" i="17"/>
  <c r="T4" i="17" s="1"/>
  <c r="R3" i="17"/>
  <c r="T3" i="17" s="1"/>
  <c r="Q11" i="1"/>
  <c r="G19" i="4"/>
  <c r="Q12" i="1" l="1"/>
  <c r="G2" i="4"/>
  <c r="G3" i="4"/>
  <c r="G4" i="4"/>
  <c r="G5" i="4"/>
  <c r="G6" i="4"/>
  <c r="G7" i="4"/>
  <c r="G8" i="4"/>
  <c r="G10" i="4"/>
  <c r="G11" i="4"/>
  <c r="G12" i="4"/>
  <c r="G15" i="4"/>
  <c r="G16" i="4"/>
  <c r="G17" i="4"/>
  <c r="G18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60" i="4"/>
  <c r="G61" i="4"/>
  <c r="I186" i="1" s="1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I176" i="1" s="1"/>
  <c r="G75" i="4"/>
  <c r="G76" i="4"/>
  <c r="G77" i="4"/>
  <c r="G78" i="4"/>
  <c r="G79" i="4"/>
  <c r="G80" i="4"/>
  <c r="I177" i="1" s="1"/>
  <c r="G81" i="4"/>
  <c r="G82" i="4"/>
  <c r="G83" i="4"/>
  <c r="G84" i="4"/>
  <c r="G85" i="4"/>
  <c r="G86" i="4"/>
  <c r="G87" i="4"/>
  <c r="G88" i="4"/>
  <c r="G89" i="4"/>
  <c r="G90" i="4"/>
  <c r="G93" i="4"/>
  <c r="G94" i="4"/>
  <c r="G95" i="4"/>
  <c r="G96" i="4"/>
  <c r="G97" i="4"/>
  <c r="G98" i="4"/>
  <c r="G99" i="4"/>
  <c r="I175" i="1" s="1"/>
  <c r="G100" i="4"/>
  <c r="I181" i="1" s="1"/>
  <c r="G101" i="4"/>
  <c r="G102" i="4"/>
  <c r="G103" i="4"/>
  <c r="G104" i="4"/>
  <c r="G105" i="4"/>
  <c r="G106" i="4"/>
  <c r="G107" i="4"/>
  <c r="G108" i="4"/>
  <c r="G109" i="4"/>
  <c r="G110" i="4"/>
  <c r="G111" i="4"/>
  <c r="I5" i="1" s="1"/>
  <c r="G112" i="4"/>
  <c r="I185" i="1" s="1"/>
  <c r="G113" i="4"/>
  <c r="G114" i="4"/>
  <c r="G115" i="4"/>
  <c r="G116" i="4"/>
  <c r="I187" i="1" s="1"/>
  <c r="G117" i="4"/>
  <c r="G118" i="4"/>
  <c r="G119" i="4"/>
  <c r="I65" i="1" s="1"/>
  <c r="G120" i="4"/>
  <c r="G121" i="4"/>
  <c r="G122" i="4"/>
  <c r="G123" i="4"/>
  <c r="G124" i="4"/>
  <c r="G125" i="4"/>
  <c r="I184" i="1" s="1"/>
  <c r="G126" i="4"/>
  <c r="G127" i="4"/>
  <c r="I52" i="1" s="1"/>
  <c r="G128" i="4"/>
  <c r="G129" i="4"/>
  <c r="G130" i="4"/>
  <c r="G131" i="4"/>
  <c r="G132" i="4"/>
  <c r="G133" i="4"/>
  <c r="G134" i="4"/>
  <c r="G135" i="4"/>
  <c r="G136" i="4"/>
  <c r="G137" i="4"/>
  <c r="G138" i="4"/>
  <c r="G139" i="4"/>
  <c r="I34" i="1" s="1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6" i="4"/>
  <c r="G167" i="4"/>
  <c r="G168" i="4"/>
  <c r="G169" i="4"/>
  <c r="G170" i="4"/>
  <c r="G171" i="4"/>
  <c r="I21" i="1" s="1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I53" i="1" s="1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I2" i="17" s="1"/>
  <c r="G312" i="4"/>
  <c r="G313" i="4"/>
  <c r="G314" i="4"/>
  <c r="G315" i="4"/>
  <c r="I64" i="1" s="1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I48" i="1" s="1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E2" i="1"/>
  <c r="K175" i="1" l="1"/>
  <c r="J175" i="1"/>
  <c r="I182" i="1"/>
  <c r="I178" i="1"/>
  <c r="I183" i="1"/>
  <c r="K177" i="1"/>
  <c r="J177" i="1"/>
  <c r="J185" i="1"/>
  <c r="K185" i="1"/>
  <c r="K186" i="1"/>
  <c r="J186" i="1"/>
  <c r="I189" i="1"/>
  <c r="I180" i="1"/>
  <c r="K184" i="1"/>
  <c r="J184" i="1"/>
  <c r="I188" i="1"/>
  <c r="I179" i="1"/>
  <c r="J187" i="1"/>
  <c r="K187" i="1"/>
  <c r="K181" i="1"/>
  <c r="J181" i="1"/>
  <c r="K176" i="1"/>
  <c r="J176" i="1"/>
  <c r="I66" i="1"/>
  <c r="K66" i="1" s="1"/>
  <c r="I61" i="1"/>
  <c r="J61" i="1" s="1"/>
  <c r="I23" i="1"/>
  <c r="K23" i="1" s="1"/>
  <c r="I27" i="1"/>
  <c r="J27" i="1" s="1"/>
  <c r="K2" i="17"/>
  <c r="R1" i="17" s="1"/>
  <c r="J2" i="17"/>
  <c r="R2" i="17"/>
  <c r="T2" i="17" s="1"/>
  <c r="T1" i="17" s="1"/>
  <c r="I6" i="1"/>
  <c r="J6" i="1" s="1"/>
  <c r="I55" i="1"/>
  <c r="I36" i="1"/>
  <c r="J36" i="1" s="1"/>
  <c r="I49" i="1"/>
  <c r="I47" i="1"/>
  <c r="I37" i="1"/>
  <c r="I40" i="1"/>
  <c r="I57" i="1"/>
  <c r="I35" i="1"/>
  <c r="I29" i="1"/>
  <c r="I41" i="1"/>
  <c r="K53" i="1"/>
  <c r="J53" i="1"/>
  <c r="K52" i="1"/>
  <c r="J52" i="1"/>
  <c r="I45" i="1"/>
  <c r="I32" i="1"/>
  <c r="K5" i="1"/>
  <c r="J5" i="1"/>
  <c r="J21" i="1"/>
  <c r="K21" i="1"/>
  <c r="I22" i="1"/>
  <c r="I51" i="1"/>
  <c r="J48" i="1"/>
  <c r="K48" i="1"/>
  <c r="I54" i="1"/>
  <c r="I42" i="1"/>
  <c r="J34" i="1"/>
  <c r="K34" i="1"/>
  <c r="I38" i="1"/>
  <c r="I43" i="1"/>
  <c r="I33" i="1"/>
  <c r="I44" i="1"/>
  <c r="I60" i="1"/>
  <c r="I62" i="1"/>
  <c r="I28" i="1"/>
  <c r="I30" i="1"/>
  <c r="I16" i="1"/>
  <c r="I31" i="1"/>
  <c r="I4" i="1"/>
  <c r="I58" i="1"/>
  <c r="I24" i="1"/>
  <c r="I26" i="1"/>
  <c r="I20" i="1"/>
  <c r="I25" i="1"/>
  <c r="K64" i="1"/>
  <c r="J64" i="1"/>
  <c r="I46" i="1"/>
  <c r="I39" i="1"/>
  <c r="I59" i="1"/>
  <c r="I63" i="1"/>
  <c r="I12" i="1"/>
  <c r="I56" i="1"/>
  <c r="K65" i="1"/>
  <c r="J65" i="1"/>
  <c r="Q13" i="1"/>
  <c r="I2" i="1"/>
  <c r="K2" i="1" s="1"/>
  <c r="K188" i="1" l="1"/>
  <c r="J188" i="1"/>
  <c r="K180" i="1"/>
  <c r="J180" i="1"/>
  <c r="J183" i="1"/>
  <c r="K183" i="1"/>
  <c r="J189" i="1"/>
  <c r="K189" i="1"/>
  <c r="J178" i="1"/>
  <c r="K178" i="1"/>
  <c r="K182" i="1"/>
  <c r="J182" i="1"/>
  <c r="J179" i="1"/>
  <c r="K179" i="1"/>
  <c r="K27" i="1"/>
  <c r="J66" i="1"/>
  <c r="J23" i="1"/>
  <c r="K61" i="1"/>
  <c r="K36" i="1"/>
  <c r="K6" i="1"/>
  <c r="J37" i="1"/>
  <c r="J32" i="1"/>
  <c r="K41" i="1"/>
  <c r="K47" i="1"/>
  <c r="K45" i="1"/>
  <c r="K29" i="1"/>
  <c r="J49" i="1"/>
  <c r="K51" i="1"/>
  <c r="J35" i="1"/>
  <c r="K22" i="1"/>
  <c r="J57" i="1"/>
  <c r="K55" i="1"/>
  <c r="J40" i="1"/>
  <c r="J55" i="1"/>
  <c r="K49" i="1"/>
  <c r="J47" i="1"/>
  <c r="K57" i="1"/>
  <c r="K37" i="1"/>
  <c r="K40" i="1"/>
  <c r="K35" i="1"/>
  <c r="J29" i="1"/>
  <c r="J41" i="1"/>
  <c r="J45" i="1"/>
  <c r="K32" i="1"/>
  <c r="J22" i="1"/>
  <c r="J51" i="1"/>
  <c r="J12" i="1"/>
  <c r="K12" i="1"/>
  <c r="K16" i="1"/>
  <c r="J16" i="1"/>
  <c r="K63" i="1"/>
  <c r="J63" i="1"/>
  <c r="J30" i="1"/>
  <c r="K30" i="1"/>
  <c r="J25" i="1"/>
  <c r="K25" i="1"/>
  <c r="J44" i="1"/>
  <c r="K44" i="1"/>
  <c r="K60" i="1"/>
  <c r="J60" i="1"/>
  <c r="K20" i="1"/>
  <c r="J20" i="1"/>
  <c r="K24" i="1"/>
  <c r="J24" i="1"/>
  <c r="J33" i="1"/>
  <c r="K33" i="1"/>
  <c r="J28" i="1"/>
  <c r="K28" i="1"/>
  <c r="K26" i="1"/>
  <c r="J26" i="1"/>
  <c r="K58" i="1"/>
  <c r="J58" i="1"/>
  <c r="J42" i="1"/>
  <c r="K42" i="1"/>
  <c r="K56" i="1"/>
  <c r="J56" i="1"/>
  <c r="K59" i="1"/>
  <c r="J59" i="1"/>
  <c r="J4" i="1"/>
  <c r="K4" i="1"/>
  <c r="K54" i="1"/>
  <c r="J54" i="1"/>
  <c r="K62" i="1"/>
  <c r="J62" i="1"/>
  <c r="J43" i="1"/>
  <c r="K43" i="1"/>
  <c r="K19" i="1"/>
  <c r="J19" i="1"/>
  <c r="J39" i="1"/>
  <c r="K39" i="1"/>
  <c r="J38" i="1"/>
  <c r="K38" i="1"/>
  <c r="J46" i="1"/>
  <c r="K46" i="1"/>
  <c r="J31" i="1"/>
  <c r="K31" i="1"/>
  <c r="Q14" i="1"/>
  <c r="J2" i="1"/>
  <c r="G500" i="1"/>
  <c r="F500" i="1"/>
  <c r="E500" i="1"/>
  <c r="I500" i="1" s="1"/>
  <c r="G499" i="1"/>
  <c r="F499" i="1"/>
  <c r="E499" i="1"/>
  <c r="I499" i="1" s="1"/>
  <c r="G498" i="1"/>
  <c r="F498" i="1"/>
  <c r="E498" i="1"/>
  <c r="I498" i="1" s="1"/>
  <c r="G497" i="1"/>
  <c r="F497" i="1"/>
  <c r="E497" i="1"/>
  <c r="I497" i="1" s="1"/>
  <c r="G496" i="1"/>
  <c r="F496" i="1"/>
  <c r="E496" i="1"/>
  <c r="I496" i="1" s="1"/>
  <c r="G495" i="1"/>
  <c r="F495" i="1"/>
  <c r="E495" i="1"/>
  <c r="I495" i="1" s="1"/>
  <c r="G494" i="1"/>
  <c r="F494" i="1"/>
  <c r="E494" i="1"/>
  <c r="I494" i="1" s="1"/>
  <c r="G493" i="1"/>
  <c r="F493" i="1"/>
  <c r="E493" i="1"/>
  <c r="I493" i="1" s="1"/>
  <c r="G492" i="1"/>
  <c r="F492" i="1"/>
  <c r="E492" i="1"/>
  <c r="I492" i="1" s="1"/>
  <c r="G491" i="1"/>
  <c r="F491" i="1"/>
  <c r="E491" i="1"/>
  <c r="I491" i="1" s="1"/>
  <c r="G490" i="1"/>
  <c r="F490" i="1"/>
  <c r="E490" i="1"/>
  <c r="I490" i="1" s="1"/>
  <c r="G489" i="1"/>
  <c r="F489" i="1"/>
  <c r="E489" i="1"/>
  <c r="I489" i="1" s="1"/>
  <c r="G488" i="1"/>
  <c r="F488" i="1"/>
  <c r="E488" i="1"/>
  <c r="I488" i="1" s="1"/>
  <c r="G487" i="1"/>
  <c r="F487" i="1"/>
  <c r="E487" i="1"/>
  <c r="I487" i="1" s="1"/>
  <c r="G486" i="1"/>
  <c r="F486" i="1"/>
  <c r="E486" i="1"/>
  <c r="I486" i="1" s="1"/>
  <c r="G485" i="1"/>
  <c r="F485" i="1"/>
  <c r="E485" i="1"/>
  <c r="I485" i="1" s="1"/>
  <c r="G484" i="1"/>
  <c r="F484" i="1"/>
  <c r="E484" i="1"/>
  <c r="I484" i="1" s="1"/>
  <c r="G483" i="1"/>
  <c r="F483" i="1"/>
  <c r="E483" i="1"/>
  <c r="I483" i="1" s="1"/>
  <c r="G482" i="1"/>
  <c r="F482" i="1"/>
  <c r="E482" i="1"/>
  <c r="I482" i="1" s="1"/>
  <c r="G481" i="1"/>
  <c r="F481" i="1"/>
  <c r="E481" i="1"/>
  <c r="I481" i="1" s="1"/>
  <c r="G480" i="1"/>
  <c r="F480" i="1"/>
  <c r="E480" i="1"/>
  <c r="I480" i="1" s="1"/>
  <c r="G479" i="1"/>
  <c r="F479" i="1"/>
  <c r="E479" i="1"/>
  <c r="I479" i="1" s="1"/>
  <c r="G478" i="1"/>
  <c r="F478" i="1"/>
  <c r="E478" i="1"/>
  <c r="I478" i="1" s="1"/>
  <c r="G477" i="1"/>
  <c r="F477" i="1"/>
  <c r="E477" i="1"/>
  <c r="I477" i="1" s="1"/>
  <c r="G476" i="1"/>
  <c r="F476" i="1"/>
  <c r="E476" i="1"/>
  <c r="I476" i="1" s="1"/>
  <c r="G475" i="1"/>
  <c r="F475" i="1"/>
  <c r="E475" i="1"/>
  <c r="I475" i="1" s="1"/>
  <c r="G474" i="1"/>
  <c r="F474" i="1"/>
  <c r="E474" i="1"/>
  <c r="I474" i="1" s="1"/>
  <c r="G473" i="1"/>
  <c r="F473" i="1"/>
  <c r="E473" i="1"/>
  <c r="I473" i="1" s="1"/>
  <c r="G472" i="1"/>
  <c r="F472" i="1"/>
  <c r="E472" i="1"/>
  <c r="I472" i="1" s="1"/>
  <c r="G471" i="1"/>
  <c r="F471" i="1"/>
  <c r="E471" i="1"/>
  <c r="I471" i="1" s="1"/>
  <c r="G470" i="1"/>
  <c r="F470" i="1"/>
  <c r="E470" i="1"/>
  <c r="I470" i="1" s="1"/>
  <c r="G469" i="1"/>
  <c r="F469" i="1"/>
  <c r="E469" i="1"/>
  <c r="I469" i="1" s="1"/>
  <c r="G468" i="1"/>
  <c r="F468" i="1"/>
  <c r="E468" i="1"/>
  <c r="I468" i="1" s="1"/>
  <c r="G467" i="1"/>
  <c r="F467" i="1"/>
  <c r="E467" i="1"/>
  <c r="I467" i="1" s="1"/>
  <c r="G466" i="1"/>
  <c r="F466" i="1"/>
  <c r="E466" i="1"/>
  <c r="I466" i="1" s="1"/>
  <c r="G465" i="1"/>
  <c r="F465" i="1"/>
  <c r="E465" i="1"/>
  <c r="I465" i="1" s="1"/>
  <c r="G464" i="1"/>
  <c r="F464" i="1"/>
  <c r="E464" i="1"/>
  <c r="I464" i="1" s="1"/>
  <c r="G463" i="1"/>
  <c r="F463" i="1"/>
  <c r="E463" i="1"/>
  <c r="I463" i="1" s="1"/>
  <c r="G462" i="1"/>
  <c r="F462" i="1"/>
  <c r="E462" i="1"/>
  <c r="I462" i="1" s="1"/>
  <c r="G461" i="1"/>
  <c r="F461" i="1"/>
  <c r="E461" i="1"/>
  <c r="I461" i="1" s="1"/>
  <c r="G460" i="1"/>
  <c r="F460" i="1"/>
  <c r="E460" i="1"/>
  <c r="I460" i="1" s="1"/>
  <c r="G459" i="1"/>
  <c r="F459" i="1"/>
  <c r="E459" i="1"/>
  <c r="I459" i="1" s="1"/>
  <c r="G458" i="1"/>
  <c r="F458" i="1"/>
  <c r="E458" i="1"/>
  <c r="I458" i="1" s="1"/>
  <c r="G457" i="1"/>
  <c r="F457" i="1"/>
  <c r="E457" i="1"/>
  <c r="I457" i="1" s="1"/>
  <c r="G456" i="1"/>
  <c r="F456" i="1"/>
  <c r="E456" i="1"/>
  <c r="I456" i="1" s="1"/>
  <c r="G455" i="1"/>
  <c r="F455" i="1"/>
  <c r="E455" i="1"/>
  <c r="I455" i="1" s="1"/>
  <c r="G454" i="1"/>
  <c r="F454" i="1"/>
  <c r="E454" i="1"/>
  <c r="I454" i="1" s="1"/>
  <c r="G453" i="1"/>
  <c r="F453" i="1"/>
  <c r="E453" i="1"/>
  <c r="I453" i="1" s="1"/>
  <c r="G452" i="1"/>
  <c r="F452" i="1"/>
  <c r="E452" i="1"/>
  <c r="I452" i="1" s="1"/>
  <c r="G451" i="1"/>
  <c r="F451" i="1"/>
  <c r="E451" i="1"/>
  <c r="I451" i="1" s="1"/>
  <c r="G450" i="1"/>
  <c r="F450" i="1"/>
  <c r="E450" i="1"/>
  <c r="I450" i="1" s="1"/>
  <c r="G449" i="1"/>
  <c r="F449" i="1"/>
  <c r="E449" i="1"/>
  <c r="I449" i="1" s="1"/>
  <c r="G448" i="1"/>
  <c r="F448" i="1"/>
  <c r="E448" i="1"/>
  <c r="I448" i="1" s="1"/>
  <c r="G447" i="1"/>
  <c r="F447" i="1"/>
  <c r="E447" i="1"/>
  <c r="I447" i="1" s="1"/>
  <c r="G446" i="1"/>
  <c r="F446" i="1"/>
  <c r="E446" i="1"/>
  <c r="I446" i="1" s="1"/>
  <c r="G445" i="1"/>
  <c r="F445" i="1"/>
  <c r="E445" i="1"/>
  <c r="I445" i="1" s="1"/>
  <c r="G444" i="1"/>
  <c r="F444" i="1"/>
  <c r="E444" i="1"/>
  <c r="I444" i="1" s="1"/>
  <c r="G443" i="1"/>
  <c r="F443" i="1"/>
  <c r="E443" i="1"/>
  <c r="I443" i="1" s="1"/>
  <c r="G442" i="1"/>
  <c r="F442" i="1"/>
  <c r="E442" i="1"/>
  <c r="I442" i="1" s="1"/>
  <c r="G441" i="1"/>
  <c r="F441" i="1"/>
  <c r="E441" i="1"/>
  <c r="I441" i="1" s="1"/>
  <c r="G440" i="1"/>
  <c r="F440" i="1"/>
  <c r="E440" i="1"/>
  <c r="I440" i="1" s="1"/>
  <c r="G439" i="1"/>
  <c r="F439" i="1"/>
  <c r="E439" i="1"/>
  <c r="I439" i="1" s="1"/>
  <c r="G438" i="1"/>
  <c r="F438" i="1"/>
  <c r="E438" i="1"/>
  <c r="I438" i="1" s="1"/>
  <c r="G437" i="1"/>
  <c r="F437" i="1"/>
  <c r="E437" i="1"/>
  <c r="I437" i="1" s="1"/>
  <c r="G436" i="1"/>
  <c r="F436" i="1"/>
  <c r="E436" i="1"/>
  <c r="I436" i="1" s="1"/>
  <c r="G435" i="1"/>
  <c r="F435" i="1"/>
  <c r="E435" i="1"/>
  <c r="I435" i="1" s="1"/>
  <c r="G434" i="1"/>
  <c r="F434" i="1"/>
  <c r="E434" i="1"/>
  <c r="I434" i="1" s="1"/>
  <c r="G433" i="1"/>
  <c r="F433" i="1"/>
  <c r="E433" i="1"/>
  <c r="I433" i="1" s="1"/>
  <c r="G432" i="1"/>
  <c r="F432" i="1"/>
  <c r="E432" i="1"/>
  <c r="I432" i="1" s="1"/>
  <c r="G431" i="1"/>
  <c r="F431" i="1"/>
  <c r="E431" i="1"/>
  <c r="I431" i="1" s="1"/>
  <c r="G430" i="1"/>
  <c r="F430" i="1"/>
  <c r="E430" i="1"/>
  <c r="I430" i="1" s="1"/>
  <c r="G429" i="1"/>
  <c r="F429" i="1"/>
  <c r="E429" i="1"/>
  <c r="I429" i="1" s="1"/>
  <c r="G428" i="1"/>
  <c r="F428" i="1"/>
  <c r="E428" i="1"/>
  <c r="I428" i="1" s="1"/>
  <c r="G427" i="1"/>
  <c r="F427" i="1"/>
  <c r="E427" i="1"/>
  <c r="I427" i="1" s="1"/>
  <c r="G426" i="1"/>
  <c r="F426" i="1"/>
  <c r="E426" i="1"/>
  <c r="I426" i="1" s="1"/>
  <c r="G425" i="1"/>
  <c r="F425" i="1"/>
  <c r="E425" i="1"/>
  <c r="I425" i="1" s="1"/>
  <c r="G424" i="1"/>
  <c r="F424" i="1"/>
  <c r="E424" i="1"/>
  <c r="I424" i="1" s="1"/>
  <c r="G423" i="1"/>
  <c r="F423" i="1"/>
  <c r="E423" i="1"/>
  <c r="I423" i="1" s="1"/>
  <c r="G422" i="1"/>
  <c r="F422" i="1"/>
  <c r="E422" i="1"/>
  <c r="I422" i="1" s="1"/>
  <c r="G421" i="1"/>
  <c r="F421" i="1"/>
  <c r="E421" i="1"/>
  <c r="I421" i="1" s="1"/>
  <c r="G420" i="1"/>
  <c r="F420" i="1"/>
  <c r="E420" i="1"/>
  <c r="I420" i="1" s="1"/>
  <c r="G419" i="1"/>
  <c r="F419" i="1"/>
  <c r="E419" i="1"/>
  <c r="I419" i="1" s="1"/>
  <c r="G418" i="1"/>
  <c r="F418" i="1"/>
  <c r="E418" i="1"/>
  <c r="I418" i="1" s="1"/>
  <c r="G417" i="1"/>
  <c r="F417" i="1"/>
  <c r="E417" i="1"/>
  <c r="I417" i="1" s="1"/>
  <c r="G416" i="1"/>
  <c r="F416" i="1"/>
  <c r="E416" i="1"/>
  <c r="I416" i="1" s="1"/>
  <c r="G415" i="1"/>
  <c r="F415" i="1"/>
  <c r="E415" i="1"/>
  <c r="I415" i="1" s="1"/>
  <c r="G414" i="1"/>
  <c r="F414" i="1"/>
  <c r="E414" i="1"/>
  <c r="I414" i="1" s="1"/>
  <c r="G413" i="1"/>
  <c r="F413" i="1"/>
  <c r="E413" i="1"/>
  <c r="I413" i="1" s="1"/>
  <c r="G412" i="1"/>
  <c r="F412" i="1"/>
  <c r="E412" i="1"/>
  <c r="I412" i="1" s="1"/>
  <c r="G411" i="1"/>
  <c r="F411" i="1"/>
  <c r="E411" i="1"/>
  <c r="I411" i="1" s="1"/>
  <c r="G410" i="1"/>
  <c r="F410" i="1"/>
  <c r="E410" i="1"/>
  <c r="I410" i="1" s="1"/>
  <c r="G409" i="1"/>
  <c r="F409" i="1"/>
  <c r="E409" i="1"/>
  <c r="I409" i="1" s="1"/>
  <c r="G408" i="1"/>
  <c r="F408" i="1"/>
  <c r="E408" i="1"/>
  <c r="I408" i="1" s="1"/>
  <c r="G407" i="1"/>
  <c r="F407" i="1"/>
  <c r="E407" i="1"/>
  <c r="I407" i="1" s="1"/>
  <c r="G406" i="1"/>
  <c r="F406" i="1"/>
  <c r="E406" i="1"/>
  <c r="I406" i="1" s="1"/>
  <c r="G405" i="1"/>
  <c r="F405" i="1"/>
  <c r="E405" i="1"/>
  <c r="I405" i="1" s="1"/>
  <c r="G404" i="1"/>
  <c r="F404" i="1"/>
  <c r="E404" i="1"/>
  <c r="I404" i="1" s="1"/>
  <c r="G403" i="1"/>
  <c r="F403" i="1"/>
  <c r="E403" i="1"/>
  <c r="I403" i="1" s="1"/>
  <c r="G402" i="1"/>
  <c r="F402" i="1"/>
  <c r="E402" i="1"/>
  <c r="I402" i="1" s="1"/>
  <c r="G401" i="1"/>
  <c r="F401" i="1"/>
  <c r="E401" i="1"/>
  <c r="I401" i="1" s="1"/>
  <c r="G400" i="1"/>
  <c r="F400" i="1"/>
  <c r="E400" i="1"/>
  <c r="I400" i="1" s="1"/>
  <c r="G399" i="1"/>
  <c r="F399" i="1"/>
  <c r="E399" i="1"/>
  <c r="I399" i="1" s="1"/>
  <c r="G398" i="1"/>
  <c r="F398" i="1"/>
  <c r="E398" i="1"/>
  <c r="I398" i="1" s="1"/>
  <c r="G397" i="1"/>
  <c r="F397" i="1"/>
  <c r="E397" i="1"/>
  <c r="I397" i="1" s="1"/>
  <c r="G396" i="1"/>
  <c r="F396" i="1"/>
  <c r="E396" i="1"/>
  <c r="I396" i="1" s="1"/>
  <c r="G395" i="1"/>
  <c r="F395" i="1"/>
  <c r="E395" i="1"/>
  <c r="I395" i="1" s="1"/>
  <c r="G394" i="1"/>
  <c r="F394" i="1"/>
  <c r="E394" i="1"/>
  <c r="I394" i="1" s="1"/>
  <c r="G393" i="1"/>
  <c r="F393" i="1"/>
  <c r="E393" i="1"/>
  <c r="I393" i="1" s="1"/>
  <c r="G392" i="1"/>
  <c r="F392" i="1"/>
  <c r="E392" i="1"/>
  <c r="I392" i="1" s="1"/>
  <c r="G391" i="1"/>
  <c r="F391" i="1"/>
  <c r="E391" i="1"/>
  <c r="I391" i="1" s="1"/>
  <c r="G390" i="1"/>
  <c r="F390" i="1"/>
  <c r="E390" i="1"/>
  <c r="I390" i="1" s="1"/>
  <c r="G389" i="1"/>
  <c r="F389" i="1"/>
  <c r="E389" i="1"/>
  <c r="I389" i="1" s="1"/>
  <c r="G388" i="1"/>
  <c r="F388" i="1"/>
  <c r="E388" i="1"/>
  <c r="I388" i="1" s="1"/>
  <c r="G387" i="1"/>
  <c r="F387" i="1"/>
  <c r="E387" i="1"/>
  <c r="I387" i="1" s="1"/>
  <c r="G386" i="1"/>
  <c r="F386" i="1"/>
  <c r="E386" i="1"/>
  <c r="I386" i="1" s="1"/>
  <c r="G385" i="1"/>
  <c r="F385" i="1"/>
  <c r="E385" i="1"/>
  <c r="I385" i="1" s="1"/>
  <c r="G384" i="1"/>
  <c r="F384" i="1"/>
  <c r="E384" i="1"/>
  <c r="I384" i="1" s="1"/>
  <c r="G383" i="1"/>
  <c r="F383" i="1"/>
  <c r="E383" i="1"/>
  <c r="I383" i="1" s="1"/>
  <c r="G382" i="1"/>
  <c r="F382" i="1"/>
  <c r="E382" i="1"/>
  <c r="I382" i="1" s="1"/>
  <c r="G381" i="1"/>
  <c r="F381" i="1"/>
  <c r="E381" i="1"/>
  <c r="I381" i="1" s="1"/>
  <c r="G380" i="1"/>
  <c r="F380" i="1"/>
  <c r="E380" i="1"/>
  <c r="I380" i="1" s="1"/>
  <c r="G379" i="1"/>
  <c r="F379" i="1"/>
  <c r="E379" i="1"/>
  <c r="I379" i="1" s="1"/>
  <c r="G378" i="1"/>
  <c r="F378" i="1"/>
  <c r="E378" i="1"/>
  <c r="I378" i="1" s="1"/>
  <c r="G377" i="1"/>
  <c r="F377" i="1"/>
  <c r="E377" i="1"/>
  <c r="I377" i="1" s="1"/>
  <c r="G376" i="1"/>
  <c r="F376" i="1"/>
  <c r="E376" i="1"/>
  <c r="I376" i="1" s="1"/>
  <c r="G375" i="1"/>
  <c r="F375" i="1"/>
  <c r="E375" i="1"/>
  <c r="I375" i="1" s="1"/>
  <c r="G374" i="1"/>
  <c r="F374" i="1"/>
  <c r="E374" i="1"/>
  <c r="I374" i="1" s="1"/>
  <c r="G373" i="1"/>
  <c r="F373" i="1"/>
  <c r="E373" i="1"/>
  <c r="I373" i="1" s="1"/>
  <c r="G372" i="1"/>
  <c r="F372" i="1"/>
  <c r="E372" i="1"/>
  <c r="I372" i="1" s="1"/>
  <c r="G371" i="1"/>
  <c r="F371" i="1"/>
  <c r="E371" i="1"/>
  <c r="I371" i="1" s="1"/>
  <c r="G370" i="1"/>
  <c r="F370" i="1"/>
  <c r="E370" i="1"/>
  <c r="I370" i="1" s="1"/>
  <c r="G369" i="1"/>
  <c r="F369" i="1"/>
  <c r="E369" i="1"/>
  <c r="I369" i="1" s="1"/>
  <c r="G368" i="1"/>
  <c r="F368" i="1"/>
  <c r="E368" i="1"/>
  <c r="I368" i="1" s="1"/>
  <c r="G367" i="1"/>
  <c r="F367" i="1"/>
  <c r="E367" i="1"/>
  <c r="I367" i="1" s="1"/>
  <c r="G366" i="1"/>
  <c r="F366" i="1"/>
  <c r="E366" i="1"/>
  <c r="I366" i="1" s="1"/>
  <c r="G365" i="1"/>
  <c r="F365" i="1"/>
  <c r="E365" i="1"/>
  <c r="I365" i="1" s="1"/>
  <c r="G364" i="1"/>
  <c r="F364" i="1"/>
  <c r="E364" i="1"/>
  <c r="I364" i="1" s="1"/>
  <c r="G363" i="1"/>
  <c r="F363" i="1"/>
  <c r="E363" i="1"/>
  <c r="I363" i="1" s="1"/>
  <c r="G362" i="1"/>
  <c r="F362" i="1"/>
  <c r="E362" i="1"/>
  <c r="I362" i="1" s="1"/>
  <c r="G361" i="1"/>
  <c r="F361" i="1"/>
  <c r="E361" i="1"/>
  <c r="I361" i="1" s="1"/>
  <c r="G360" i="1"/>
  <c r="F360" i="1"/>
  <c r="E360" i="1"/>
  <c r="I360" i="1" s="1"/>
  <c r="G359" i="1"/>
  <c r="F359" i="1"/>
  <c r="E359" i="1"/>
  <c r="I359" i="1" s="1"/>
  <c r="G358" i="1"/>
  <c r="F358" i="1"/>
  <c r="E358" i="1"/>
  <c r="I358" i="1" s="1"/>
  <c r="G357" i="1"/>
  <c r="F357" i="1"/>
  <c r="E357" i="1"/>
  <c r="I357" i="1" s="1"/>
  <c r="G356" i="1"/>
  <c r="F356" i="1"/>
  <c r="E356" i="1"/>
  <c r="I356" i="1" s="1"/>
  <c r="G355" i="1"/>
  <c r="F355" i="1"/>
  <c r="E355" i="1"/>
  <c r="I355" i="1" s="1"/>
  <c r="G354" i="1"/>
  <c r="F354" i="1"/>
  <c r="E354" i="1"/>
  <c r="I354" i="1" s="1"/>
  <c r="G353" i="1"/>
  <c r="F353" i="1"/>
  <c r="E353" i="1"/>
  <c r="I353" i="1" s="1"/>
  <c r="G352" i="1"/>
  <c r="F352" i="1"/>
  <c r="E352" i="1"/>
  <c r="I352" i="1" s="1"/>
  <c r="G351" i="1"/>
  <c r="F351" i="1"/>
  <c r="E351" i="1"/>
  <c r="I351" i="1" s="1"/>
  <c r="G350" i="1"/>
  <c r="F350" i="1"/>
  <c r="E350" i="1"/>
  <c r="I350" i="1" s="1"/>
  <c r="G349" i="1"/>
  <c r="F349" i="1"/>
  <c r="E349" i="1"/>
  <c r="I349" i="1" s="1"/>
  <c r="G348" i="1"/>
  <c r="F348" i="1"/>
  <c r="E348" i="1"/>
  <c r="I348" i="1" s="1"/>
  <c r="G347" i="1"/>
  <c r="F347" i="1"/>
  <c r="E347" i="1"/>
  <c r="I347" i="1" s="1"/>
  <c r="G346" i="1"/>
  <c r="F346" i="1"/>
  <c r="E346" i="1"/>
  <c r="I346" i="1" s="1"/>
  <c r="G345" i="1"/>
  <c r="F345" i="1"/>
  <c r="E345" i="1"/>
  <c r="I345" i="1" s="1"/>
  <c r="G344" i="1"/>
  <c r="F344" i="1"/>
  <c r="E344" i="1"/>
  <c r="I344" i="1" s="1"/>
  <c r="G343" i="1"/>
  <c r="F343" i="1"/>
  <c r="E343" i="1"/>
  <c r="I343" i="1" s="1"/>
  <c r="G342" i="1"/>
  <c r="F342" i="1"/>
  <c r="E342" i="1"/>
  <c r="I342" i="1" s="1"/>
  <c r="G341" i="1"/>
  <c r="F341" i="1"/>
  <c r="E341" i="1"/>
  <c r="I341" i="1" s="1"/>
  <c r="G340" i="1"/>
  <c r="F340" i="1"/>
  <c r="E340" i="1"/>
  <c r="I340" i="1" s="1"/>
  <c r="G339" i="1"/>
  <c r="F339" i="1"/>
  <c r="E339" i="1"/>
  <c r="I339" i="1" s="1"/>
  <c r="G338" i="1"/>
  <c r="F338" i="1"/>
  <c r="E338" i="1"/>
  <c r="I338" i="1" s="1"/>
  <c r="G337" i="1"/>
  <c r="F337" i="1"/>
  <c r="E337" i="1"/>
  <c r="I337" i="1" s="1"/>
  <c r="G336" i="1"/>
  <c r="F336" i="1"/>
  <c r="E336" i="1"/>
  <c r="I336" i="1" s="1"/>
  <c r="G335" i="1"/>
  <c r="F335" i="1"/>
  <c r="E335" i="1"/>
  <c r="I335" i="1" s="1"/>
  <c r="G334" i="1"/>
  <c r="F334" i="1"/>
  <c r="E334" i="1"/>
  <c r="I334" i="1" s="1"/>
  <c r="G333" i="1"/>
  <c r="F333" i="1"/>
  <c r="E333" i="1"/>
  <c r="I333" i="1" s="1"/>
  <c r="G332" i="1"/>
  <c r="F332" i="1"/>
  <c r="E332" i="1"/>
  <c r="I332" i="1" s="1"/>
  <c r="G331" i="1"/>
  <c r="F331" i="1"/>
  <c r="E331" i="1"/>
  <c r="I331" i="1" s="1"/>
  <c r="G330" i="1"/>
  <c r="F330" i="1"/>
  <c r="E330" i="1"/>
  <c r="I330" i="1" s="1"/>
  <c r="G329" i="1"/>
  <c r="F329" i="1"/>
  <c r="E329" i="1"/>
  <c r="I329" i="1" s="1"/>
  <c r="G328" i="1"/>
  <c r="F328" i="1"/>
  <c r="E328" i="1"/>
  <c r="I328" i="1" s="1"/>
  <c r="G327" i="1"/>
  <c r="F327" i="1"/>
  <c r="E327" i="1"/>
  <c r="I327" i="1" s="1"/>
  <c r="G326" i="1"/>
  <c r="F326" i="1"/>
  <c r="E326" i="1"/>
  <c r="I326" i="1" s="1"/>
  <c r="G325" i="1"/>
  <c r="F325" i="1"/>
  <c r="E325" i="1"/>
  <c r="I325" i="1" s="1"/>
  <c r="G324" i="1"/>
  <c r="F324" i="1"/>
  <c r="E324" i="1"/>
  <c r="I324" i="1" s="1"/>
  <c r="G323" i="1"/>
  <c r="F323" i="1"/>
  <c r="E323" i="1"/>
  <c r="I323" i="1" s="1"/>
  <c r="G322" i="1"/>
  <c r="F322" i="1"/>
  <c r="E322" i="1"/>
  <c r="I322" i="1" s="1"/>
  <c r="G321" i="1"/>
  <c r="F321" i="1"/>
  <c r="E321" i="1"/>
  <c r="I321" i="1" s="1"/>
  <c r="G320" i="1"/>
  <c r="F320" i="1"/>
  <c r="E320" i="1"/>
  <c r="I320" i="1" s="1"/>
  <c r="G319" i="1"/>
  <c r="F319" i="1"/>
  <c r="E319" i="1"/>
  <c r="I319" i="1" s="1"/>
  <c r="G318" i="1"/>
  <c r="F318" i="1"/>
  <c r="E318" i="1"/>
  <c r="I318" i="1" s="1"/>
  <c r="G317" i="1"/>
  <c r="F317" i="1"/>
  <c r="E317" i="1"/>
  <c r="I317" i="1" s="1"/>
  <c r="G316" i="1"/>
  <c r="F316" i="1"/>
  <c r="E316" i="1"/>
  <c r="I316" i="1" s="1"/>
  <c r="G315" i="1"/>
  <c r="F315" i="1"/>
  <c r="E315" i="1"/>
  <c r="I315" i="1" s="1"/>
  <c r="G314" i="1"/>
  <c r="F314" i="1"/>
  <c r="E314" i="1"/>
  <c r="I314" i="1" s="1"/>
  <c r="G313" i="1"/>
  <c r="F313" i="1"/>
  <c r="E313" i="1"/>
  <c r="I313" i="1" s="1"/>
  <c r="G312" i="1"/>
  <c r="F312" i="1"/>
  <c r="E312" i="1"/>
  <c r="I312" i="1" s="1"/>
  <c r="G311" i="1"/>
  <c r="F311" i="1"/>
  <c r="E311" i="1"/>
  <c r="I311" i="1" s="1"/>
  <c r="G310" i="1"/>
  <c r="F310" i="1"/>
  <c r="E310" i="1"/>
  <c r="I310" i="1" s="1"/>
  <c r="G309" i="1"/>
  <c r="F309" i="1"/>
  <c r="E309" i="1"/>
  <c r="I309" i="1" s="1"/>
  <c r="G308" i="1"/>
  <c r="F308" i="1"/>
  <c r="E308" i="1"/>
  <c r="I308" i="1" s="1"/>
  <c r="G307" i="1"/>
  <c r="F307" i="1"/>
  <c r="E307" i="1"/>
  <c r="I307" i="1" s="1"/>
  <c r="G306" i="1"/>
  <c r="F306" i="1"/>
  <c r="E306" i="1"/>
  <c r="I306" i="1" s="1"/>
  <c r="G305" i="1"/>
  <c r="F305" i="1"/>
  <c r="E305" i="1"/>
  <c r="I305" i="1" s="1"/>
  <c r="G304" i="1"/>
  <c r="F304" i="1"/>
  <c r="E304" i="1"/>
  <c r="I304" i="1" s="1"/>
  <c r="G303" i="1"/>
  <c r="F303" i="1"/>
  <c r="E303" i="1"/>
  <c r="I303" i="1" s="1"/>
  <c r="G302" i="1"/>
  <c r="F302" i="1"/>
  <c r="E302" i="1"/>
  <c r="I302" i="1" s="1"/>
  <c r="G301" i="1"/>
  <c r="F301" i="1"/>
  <c r="E301" i="1"/>
  <c r="I301" i="1" s="1"/>
  <c r="G300" i="1"/>
  <c r="F300" i="1"/>
  <c r="E300" i="1"/>
  <c r="I300" i="1" s="1"/>
  <c r="G299" i="1"/>
  <c r="F299" i="1"/>
  <c r="E299" i="1"/>
  <c r="I299" i="1" s="1"/>
  <c r="G298" i="1"/>
  <c r="F298" i="1"/>
  <c r="E298" i="1"/>
  <c r="I298" i="1" s="1"/>
  <c r="G297" i="1"/>
  <c r="F297" i="1"/>
  <c r="E297" i="1"/>
  <c r="I297" i="1" s="1"/>
  <c r="G296" i="1"/>
  <c r="F296" i="1"/>
  <c r="E296" i="1"/>
  <c r="I296" i="1" s="1"/>
  <c r="G295" i="1"/>
  <c r="F295" i="1"/>
  <c r="E295" i="1"/>
  <c r="I295" i="1" s="1"/>
  <c r="G294" i="1"/>
  <c r="F294" i="1"/>
  <c r="E294" i="1"/>
  <c r="I294" i="1" s="1"/>
  <c r="G293" i="1"/>
  <c r="F293" i="1"/>
  <c r="E293" i="1"/>
  <c r="I293" i="1" s="1"/>
  <c r="G292" i="1"/>
  <c r="F292" i="1"/>
  <c r="E292" i="1"/>
  <c r="I292" i="1" s="1"/>
  <c r="G291" i="1"/>
  <c r="F291" i="1"/>
  <c r="E291" i="1"/>
  <c r="I291" i="1" s="1"/>
  <c r="G290" i="1"/>
  <c r="F290" i="1"/>
  <c r="E290" i="1"/>
  <c r="I290" i="1" s="1"/>
  <c r="G289" i="1"/>
  <c r="F289" i="1"/>
  <c r="E289" i="1"/>
  <c r="I289" i="1" s="1"/>
  <c r="G288" i="1"/>
  <c r="F288" i="1"/>
  <c r="E288" i="1"/>
  <c r="I288" i="1" s="1"/>
  <c r="G287" i="1"/>
  <c r="F287" i="1"/>
  <c r="E287" i="1"/>
  <c r="I287" i="1" s="1"/>
  <c r="G286" i="1"/>
  <c r="F286" i="1"/>
  <c r="E286" i="1"/>
  <c r="I286" i="1" s="1"/>
  <c r="G285" i="1"/>
  <c r="F285" i="1"/>
  <c r="E285" i="1"/>
  <c r="I285" i="1" s="1"/>
  <c r="G284" i="1"/>
  <c r="F284" i="1"/>
  <c r="E284" i="1"/>
  <c r="I284" i="1" s="1"/>
  <c r="G283" i="1"/>
  <c r="F283" i="1"/>
  <c r="E283" i="1"/>
  <c r="I283" i="1" s="1"/>
  <c r="G282" i="1"/>
  <c r="F282" i="1"/>
  <c r="E282" i="1"/>
  <c r="I282" i="1" s="1"/>
  <c r="G281" i="1"/>
  <c r="F281" i="1"/>
  <c r="E281" i="1"/>
  <c r="I281" i="1" s="1"/>
  <c r="G280" i="1"/>
  <c r="F280" i="1"/>
  <c r="E280" i="1"/>
  <c r="I280" i="1" s="1"/>
  <c r="G279" i="1"/>
  <c r="F279" i="1"/>
  <c r="E279" i="1"/>
  <c r="I279" i="1" s="1"/>
  <c r="G278" i="1"/>
  <c r="F278" i="1"/>
  <c r="E278" i="1"/>
  <c r="I278" i="1" s="1"/>
  <c r="G277" i="1"/>
  <c r="F277" i="1"/>
  <c r="E277" i="1"/>
  <c r="I277" i="1" s="1"/>
  <c r="G276" i="1"/>
  <c r="F276" i="1"/>
  <c r="E276" i="1"/>
  <c r="I276" i="1" s="1"/>
  <c r="G275" i="1"/>
  <c r="F275" i="1"/>
  <c r="E275" i="1"/>
  <c r="I275" i="1" s="1"/>
  <c r="G274" i="1"/>
  <c r="F274" i="1"/>
  <c r="E274" i="1"/>
  <c r="I274" i="1" s="1"/>
  <c r="G273" i="1"/>
  <c r="F273" i="1"/>
  <c r="E273" i="1"/>
  <c r="I273" i="1" s="1"/>
  <c r="G272" i="1"/>
  <c r="F272" i="1"/>
  <c r="E272" i="1"/>
  <c r="I272" i="1" s="1"/>
  <c r="G271" i="1"/>
  <c r="F271" i="1"/>
  <c r="E271" i="1"/>
  <c r="I271" i="1" s="1"/>
  <c r="G270" i="1"/>
  <c r="F270" i="1"/>
  <c r="E270" i="1"/>
  <c r="I270" i="1" s="1"/>
  <c r="G269" i="1"/>
  <c r="F269" i="1"/>
  <c r="E269" i="1"/>
  <c r="I269" i="1" s="1"/>
  <c r="G268" i="1"/>
  <c r="F268" i="1"/>
  <c r="E268" i="1"/>
  <c r="I268" i="1" s="1"/>
  <c r="G267" i="1"/>
  <c r="F267" i="1"/>
  <c r="E267" i="1"/>
  <c r="I267" i="1" s="1"/>
  <c r="G266" i="1"/>
  <c r="F266" i="1"/>
  <c r="E266" i="1"/>
  <c r="I266" i="1" s="1"/>
  <c r="G265" i="1"/>
  <c r="F265" i="1"/>
  <c r="E265" i="1"/>
  <c r="I265" i="1" s="1"/>
  <c r="G264" i="1"/>
  <c r="F264" i="1"/>
  <c r="E264" i="1"/>
  <c r="I264" i="1" s="1"/>
  <c r="G263" i="1"/>
  <c r="F263" i="1"/>
  <c r="E263" i="1"/>
  <c r="I263" i="1" s="1"/>
  <c r="G262" i="1"/>
  <c r="F262" i="1"/>
  <c r="E262" i="1"/>
  <c r="I262" i="1" s="1"/>
  <c r="G261" i="1"/>
  <c r="F261" i="1"/>
  <c r="E261" i="1"/>
  <c r="I261" i="1" s="1"/>
  <c r="G260" i="1"/>
  <c r="F260" i="1"/>
  <c r="E260" i="1"/>
  <c r="I260" i="1" s="1"/>
  <c r="G259" i="1"/>
  <c r="F259" i="1"/>
  <c r="E259" i="1"/>
  <c r="I259" i="1" s="1"/>
  <c r="G258" i="1"/>
  <c r="F258" i="1"/>
  <c r="E258" i="1"/>
  <c r="I258" i="1" s="1"/>
  <c r="G257" i="1"/>
  <c r="F257" i="1"/>
  <c r="E257" i="1"/>
  <c r="I257" i="1" s="1"/>
  <c r="G256" i="1"/>
  <c r="F256" i="1"/>
  <c r="E256" i="1"/>
  <c r="I256" i="1" s="1"/>
  <c r="G255" i="1"/>
  <c r="F255" i="1"/>
  <c r="E255" i="1"/>
  <c r="I255" i="1" s="1"/>
  <c r="G254" i="1"/>
  <c r="F254" i="1"/>
  <c r="E254" i="1"/>
  <c r="I254" i="1" s="1"/>
  <c r="G253" i="1"/>
  <c r="F253" i="1"/>
  <c r="E253" i="1"/>
  <c r="I253" i="1" s="1"/>
  <c r="G252" i="1"/>
  <c r="F252" i="1"/>
  <c r="E252" i="1"/>
  <c r="I252" i="1" s="1"/>
  <c r="G251" i="1"/>
  <c r="F251" i="1"/>
  <c r="E251" i="1"/>
  <c r="I251" i="1" s="1"/>
  <c r="G250" i="1"/>
  <c r="F250" i="1"/>
  <c r="E250" i="1"/>
  <c r="I250" i="1" s="1"/>
  <c r="G249" i="1"/>
  <c r="F249" i="1"/>
  <c r="E249" i="1"/>
  <c r="I249" i="1" s="1"/>
  <c r="G248" i="1"/>
  <c r="F248" i="1"/>
  <c r="E248" i="1"/>
  <c r="I248" i="1" s="1"/>
  <c r="G247" i="1"/>
  <c r="F247" i="1"/>
  <c r="E247" i="1"/>
  <c r="I247" i="1" s="1"/>
  <c r="G246" i="1"/>
  <c r="F246" i="1"/>
  <c r="E246" i="1"/>
  <c r="I246" i="1" s="1"/>
  <c r="G245" i="1"/>
  <c r="F245" i="1"/>
  <c r="E245" i="1"/>
  <c r="I245" i="1" s="1"/>
  <c r="G244" i="1"/>
  <c r="F244" i="1"/>
  <c r="E244" i="1"/>
  <c r="I244" i="1" s="1"/>
  <c r="G243" i="1"/>
  <c r="F243" i="1"/>
  <c r="E243" i="1"/>
  <c r="I243" i="1" s="1"/>
  <c r="G242" i="1"/>
  <c r="F242" i="1"/>
  <c r="E242" i="1"/>
  <c r="I242" i="1" s="1"/>
  <c r="G241" i="1"/>
  <c r="F241" i="1"/>
  <c r="E241" i="1"/>
  <c r="I241" i="1" s="1"/>
  <c r="G240" i="1"/>
  <c r="F240" i="1"/>
  <c r="E240" i="1"/>
  <c r="I240" i="1" s="1"/>
  <c r="G239" i="1"/>
  <c r="F239" i="1"/>
  <c r="E239" i="1"/>
  <c r="I239" i="1" s="1"/>
  <c r="G238" i="1"/>
  <c r="F238" i="1"/>
  <c r="E238" i="1"/>
  <c r="I238" i="1" s="1"/>
  <c r="G237" i="1"/>
  <c r="F237" i="1"/>
  <c r="E237" i="1"/>
  <c r="I237" i="1" s="1"/>
  <c r="G236" i="1"/>
  <c r="F236" i="1"/>
  <c r="E236" i="1"/>
  <c r="I236" i="1" s="1"/>
  <c r="G235" i="1"/>
  <c r="F235" i="1"/>
  <c r="E235" i="1"/>
  <c r="I235" i="1" s="1"/>
  <c r="G234" i="1"/>
  <c r="F234" i="1"/>
  <c r="E234" i="1"/>
  <c r="I234" i="1" s="1"/>
  <c r="G233" i="1"/>
  <c r="F233" i="1"/>
  <c r="E233" i="1"/>
  <c r="I233" i="1" s="1"/>
  <c r="G232" i="1"/>
  <c r="F232" i="1"/>
  <c r="E232" i="1"/>
  <c r="I232" i="1" s="1"/>
  <c r="G231" i="1"/>
  <c r="F231" i="1"/>
  <c r="E231" i="1"/>
  <c r="I231" i="1" s="1"/>
  <c r="G230" i="1"/>
  <c r="F230" i="1"/>
  <c r="E230" i="1"/>
  <c r="I230" i="1" s="1"/>
  <c r="G229" i="1"/>
  <c r="F229" i="1"/>
  <c r="E229" i="1"/>
  <c r="I229" i="1" s="1"/>
  <c r="G228" i="1"/>
  <c r="F228" i="1"/>
  <c r="E228" i="1"/>
  <c r="I228" i="1" s="1"/>
  <c r="G227" i="1"/>
  <c r="F227" i="1"/>
  <c r="E227" i="1"/>
  <c r="I227" i="1" s="1"/>
  <c r="G226" i="1"/>
  <c r="F226" i="1"/>
  <c r="E226" i="1"/>
  <c r="I226" i="1" s="1"/>
  <c r="G225" i="1"/>
  <c r="F225" i="1"/>
  <c r="E225" i="1"/>
  <c r="I225" i="1" s="1"/>
  <c r="G224" i="1"/>
  <c r="F224" i="1"/>
  <c r="E224" i="1"/>
  <c r="I224" i="1" s="1"/>
  <c r="G223" i="1"/>
  <c r="F223" i="1"/>
  <c r="E223" i="1"/>
  <c r="I223" i="1" s="1"/>
  <c r="G222" i="1"/>
  <c r="F222" i="1"/>
  <c r="E222" i="1"/>
  <c r="I222" i="1" s="1"/>
  <c r="G221" i="1"/>
  <c r="F221" i="1"/>
  <c r="E221" i="1"/>
  <c r="I221" i="1" s="1"/>
  <c r="G220" i="1"/>
  <c r="F220" i="1"/>
  <c r="E220" i="1"/>
  <c r="I220" i="1" s="1"/>
  <c r="G219" i="1"/>
  <c r="F219" i="1"/>
  <c r="E219" i="1"/>
  <c r="I219" i="1" s="1"/>
  <c r="G218" i="1"/>
  <c r="F218" i="1"/>
  <c r="E218" i="1"/>
  <c r="I218" i="1" s="1"/>
  <c r="G217" i="1"/>
  <c r="F217" i="1"/>
  <c r="E217" i="1"/>
  <c r="I217" i="1" s="1"/>
  <c r="G216" i="1"/>
  <c r="F216" i="1"/>
  <c r="E216" i="1"/>
  <c r="I216" i="1" s="1"/>
  <c r="G215" i="1"/>
  <c r="F215" i="1"/>
  <c r="E215" i="1"/>
  <c r="I215" i="1" s="1"/>
  <c r="G214" i="1"/>
  <c r="F214" i="1"/>
  <c r="E214" i="1"/>
  <c r="I214" i="1" s="1"/>
  <c r="G213" i="1"/>
  <c r="F213" i="1"/>
  <c r="E213" i="1"/>
  <c r="I213" i="1" s="1"/>
  <c r="G212" i="1"/>
  <c r="F212" i="1"/>
  <c r="E212" i="1"/>
  <c r="I212" i="1" s="1"/>
  <c r="G211" i="1"/>
  <c r="F211" i="1"/>
  <c r="E211" i="1"/>
  <c r="I211" i="1" s="1"/>
  <c r="G210" i="1"/>
  <c r="F210" i="1"/>
  <c r="E210" i="1"/>
  <c r="I210" i="1" s="1"/>
  <c r="G209" i="1"/>
  <c r="F209" i="1"/>
  <c r="E209" i="1"/>
  <c r="I209" i="1" s="1"/>
  <c r="G208" i="1"/>
  <c r="F208" i="1"/>
  <c r="E208" i="1"/>
  <c r="I208" i="1" s="1"/>
  <c r="G207" i="1"/>
  <c r="F207" i="1"/>
  <c r="E207" i="1"/>
  <c r="I207" i="1" s="1"/>
  <c r="G206" i="1"/>
  <c r="F206" i="1"/>
  <c r="E206" i="1"/>
  <c r="I206" i="1" s="1"/>
  <c r="G205" i="1"/>
  <c r="F205" i="1"/>
  <c r="E205" i="1"/>
  <c r="I205" i="1" s="1"/>
  <c r="G204" i="1"/>
  <c r="F204" i="1"/>
  <c r="E204" i="1"/>
  <c r="I204" i="1" s="1"/>
  <c r="G203" i="1"/>
  <c r="F203" i="1"/>
  <c r="E203" i="1"/>
  <c r="I203" i="1" s="1"/>
  <c r="G202" i="1"/>
  <c r="F202" i="1"/>
  <c r="E202" i="1"/>
  <c r="I202" i="1" s="1"/>
  <c r="G201" i="1"/>
  <c r="F201" i="1"/>
  <c r="E201" i="1"/>
  <c r="I201" i="1" s="1"/>
  <c r="G200" i="1"/>
  <c r="F200" i="1"/>
  <c r="E200" i="1"/>
  <c r="I200" i="1" s="1"/>
  <c r="G199" i="1"/>
  <c r="F199" i="1"/>
  <c r="E199" i="1"/>
  <c r="I199" i="1" s="1"/>
  <c r="G198" i="1"/>
  <c r="F198" i="1"/>
  <c r="E198" i="1"/>
  <c r="I198" i="1" s="1"/>
  <c r="G197" i="1"/>
  <c r="F197" i="1"/>
  <c r="E197" i="1"/>
  <c r="I197" i="1" s="1"/>
  <c r="G196" i="1"/>
  <c r="F196" i="1"/>
  <c r="E196" i="1"/>
  <c r="I196" i="1" s="1"/>
  <c r="G195" i="1"/>
  <c r="F195" i="1"/>
  <c r="E195" i="1"/>
  <c r="I195" i="1" s="1"/>
  <c r="G194" i="1"/>
  <c r="F194" i="1"/>
  <c r="E194" i="1"/>
  <c r="I194" i="1" s="1"/>
  <c r="G193" i="1"/>
  <c r="F193" i="1"/>
  <c r="E193" i="1"/>
  <c r="I193" i="1" s="1"/>
  <c r="G192" i="1"/>
  <c r="F192" i="1"/>
  <c r="E192" i="1"/>
  <c r="I192" i="1" s="1"/>
  <c r="G191" i="1"/>
  <c r="F191" i="1"/>
  <c r="E191" i="1"/>
  <c r="I191" i="1" s="1"/>
  <c r="G190" i="1"/>
  <c r="F190" i="1"/>
  <c r="E190" i="1"/>
  <c r="I190" i="1" s="1"/>
  <c r="G174" i="1"/>
  <c r="F174" i="1"/>
  <c r="E174" i="1"/>
  <c r="I174" i="1" s="1"/>
  <c r="G173" i="1"/>
  <c r="F173" i="1"/>
  <c r="E173" i="1"/>
  <c r="I173" i="1" s="1"/>
  <c r="G172" i="1"/>
  <c r="F172" i="1"/>
  <c r="E172" i="1"/>
  <c r="I172" i="1" s="1"/>
  <c r="G171" i="1"/>
  <c r="F171" i="1"/>
  <c r="E171" i="1"/>
  <c r="I171" i="1" s="1"/>
  <c r="G170" i="1"/>
  <c r="F170" i="1"/>
  <c r="E170" i="1"/>
  <c r="I170" i="1" s="1"/>
  <c r="G169" i="1"/>
  <c r="F169" i="1"/>
  <c r="E169" i="1"/>
  <c r="I169" i="1" s="1"/>
  <c r="G168" i="1"/>
  <c r="F168" i="1"/>
  <c r="E168" i="1"/>
  <c r="I168" i="1" s="1"/>
  <c r="G167" i="1"/>
  <c r="F167" i="1"/>
  <c r="E167" i="1"/>
  <c r="I167" i="1" s="1"/>
  <c r="G166" i="1"/>
  <c r="F166" i="1"/>
  <c r="E166" i="1"/>
  <c r="I166" i="1" s="1"/>
  <c r="G165" i="1"/>
  <c r="F165" i="1"/>
  <c r="E165" i="1"/>
  <c r="I165" i="1" s="1"/>
  <c r="G164" i="1"/>
  <c r="F164" i="1"/>
  <c r="E164" i="1"/>
  <c r="I164" i="1" s="1"/>
  <c r="G163" i="1"/>
  <c r="F163" i="1"/>
  <c r="E163" i="1"/>
  <c r="I163" i="1" s="1"/>
  <c r="G162" i="1"/>
  <c r="F162" i="1"/>
  <c r="E162" i="1"/>
  <c r="I162" i="1" s="1"/>
  <c r="G161" i="1"/>
  <c r="F161" i="1"/>
  <c r="E161" i="1"/>
  <c r="I161" i="1" s="1"/>
  <c r="G160" i="1"/>
  <c r="F160" i="1"/>
  <c r="E160" i="1"/>
  <c r="I160" i="1" s="1"/>
  <c r="G159" i="1"/>
  <c r="F159" i="1"/>
  <c r="E159" i="1"/>
  <c r="I159" i="1" s="1"/>
  <c r="G158" i="1"/>
  <c r="F158" i="1"/>
  <c r="E158" i="1"/>
  <c r="I158" i="1" s="1"/>
  <c r="G157" i="1"/>
  <c r="F157" i="1"/>
  <c r="E157" i="1"/>
  <c r="G156" i="1"/>
  <c r="F156" i="1"/>
  <c r="E156" i="1"/>
  <c r="I156" i="1" s="1"/>
  <c r="G155" i="1"/>
  <c r="F155" i="1"/>
  <c r="E155" i="1"/>
  <c r="I155" i="1" s="1"/>
  <c r="G154" i="1"/>
  <c r="F154" i="1"/>
  <c r="E154" i="1"/>
  <c r="I154" i="1" s="1"/>
  <c r="G153" i="1"/>
  <c r="F153" i="1"/>
  <c r="E153" i="1"/>
  <c r="I153" i="1" s="1"/>
  <c r="G152" i="1"/>
  <c r="F152" i="1"/>
  <c r="E152" i="1"/>
  <c r="I152" i="1" s="1"/>
  <c r="G151" i="1"/>
  <c r="F151" i="1"/>
  <c r="E151" i="1"/>
  <c r="I151" i="1" s="1"/>
  <c r="G150" i="1"/>
  <c r="F150" i="1"/>
  <c r="E150" i="1"/>
  <c r="I150" i="1" s="1"/>
  <c r="G149" i="1"/>
  <c r="F149" i="1"/>
  <c r="E149" i="1"/>
  <c r="I149" i="1" s="1"/>
  <c r="G148" i="1"/>
  <c r="F148" i="1"/>
  <c r="E148" i="1"/>
  <c r="I148" i="1" s="1"/>
  <c r="G147" i="1"/>
  <c r="F147" i="1"/>
  <c r="E147" i="1"/>
  <c r="I147" i="1" s="1"/>
  <c r="K147" i="1" s="1"/>
  <c r="G146" i="1"/>
  <c r="F146" i="1"/>
  <c r="E146" i="1"/>
  <c r="I146" i="1" s="1"/>
  <c r="K146" i="1" s="1"/>
  <c r="G145" i="1"/>
  <c r="F145" i="1"/>
  <c r="E145" i="1"/>
  <c r="I145" i="1" s="1"/>
  <c r="G144" i="1"/>
  <c r="F144" i="1"/>
  <c r="E144" i="1"/>
  <c r="I144" i="1" s="1"/>
  <c r="G143" i="1"/>
  <c r="F143" i="1"/>
  <c r="E143" i="1"/>
  <c r="I143" i="1" s="1"/>
  <c r="G142" i="1"/>
  <c r="F142" i="1"/>
  <c r="E142" i="1"/>
  <c r="I142" i="1" s="1"/>
  <c r="G141" i="1"/>
  <c r="F141" i="1"/>
  <c r="E141" i="1"/>
  <c r="I141" i="1" s="1"/>
  <c r="G140" i="1"/>
  <c r="F140" i="1"/>
  <c r="E140" i="1"/>
  <c r="I140" i="1" s="1"/>
  <c r="G139" i="1"/>
  <c r="F139" i="1"/>
  <c r="E139" i="1"/>
  <c r="I139" i="1" s="1"/>
  <c r="G138" i="1"/>
  <c r="F138" i="1"/>
  <c r="E138" i="1"/>
  <c r="I138" i="1" s="1"/>
  <c r="G137" i="1"/>
  <c r="F137" i="1"/>
  <c r="E137" i="1"/>
  <c r="I137" i="1" s="1"/>
  <c r="G136" i="1"/>
  <c r="F136" i="1"/>
  <c r="E136" i="1"/>
  <c r="I136" i="1" s="1"/>
  <c r="G135" i="1"/>
  <c r="F135" i="1"/>
  <c r="E135" i="1"/>
  <c r="I135" i="1" s="1"/>
  <c r="G134" i="1"/>
  <c r="F134" i="1"/>
  <c r="E134" i="1"/>
  <c r="I134" i="1" s="1"/>
  <c r="G133" i="1"/>
  <c r="F133" i="1"/>
  <c r="E133" i="1"/>
  <c r="I133" i="1" s="1"/>
  <c r="G132" i="1"/>
  <c r="F132" i="1"/>
  <c r="E132" i="1"/>
  <c r="I132" i="1" s="1"/>
  <c r="G131" i="1"/>
  <c r="F131" i="1"/>
  <c r="E131" i="1"/>
  <c r="I131" i="1" s="1"/>
  <c r="G130" i="1"/>
  <c r="F130" i="1"/>
  <c r="E130" i="1"/>
  <c r="I130" i="1" s="1"/>
  <c r="G129" i="1"/>
  <c r="F129" i="1"/>
  <c r="E129" i="1"/>
  <c r="I129" i="1" s="1"/>
  <c r="G128" i="1"/>
  <c r="F128" i="1"/>
  <c r="E128" i="1"/>
  <c r="I128" i="1" s="1"/>
  <c r="G127" i="1"/>
  <c r="F127" i="1"/>
  <c r="E127" i="1"/>
  <c r="I127" i="1" s="1"/>
  <c r="G126" i="1"/>
  <c r="F126" i="1"/>
  <c r="E126" i="1"/>
  <c r="I126" i="1" s="1"/>
  <c r="G125" i="1"/>
  <c r="F125" i="1"/>
  <c r="E125" i="1"/>
  <c r="I125" i="1" s="1"/>
  <c r="G124" i="1"/>
  <c r="F124" i="1"/>
  <c r="E124" i="1"/>
  <c r="I124" i="1" s="1"/>
  <c r="G123" i="1"/>
  <c r="F123" i="1"/>
  <c r="E123" i="1"/>
  <c r="I123" i="1" s="1"/>
  <c r="G122" i="1"/>
  <c r="F122" i="1"/>
  <c r="E122" i="1"/>
  <c r="I122" i="1" s="1"/>
  <c r="G121" i="1"/>
  <c r="F121" i="1"/>
  <c r="E121" i="1"/>
  <c r="I121" i="1" s="1"/>
  <c r="G120" i="1"/>
  <c r="F120" i="1"/>
  <c r="E120" i="1"/>
  <c r="I120" i="1" s="1"/>
  <c r="G119" i="1"/>
  <c r="F119" i="1"/>
  <c r="E119" i="1"/>
  <c r="I119" i="1" s="1"/>
  <c r="G118" i="1"/>
  <c r="F118" i="1"/>
  <c r="E118" i="1"/>
  <c r="I118" i="1" s="1"/>
  <c r="G117" i="1"/>
  <c r="F117" i="1"/>
  <c r="E117" i="1"/>
  <c r="I117" i="1" s="1"/>
  <c r="G116" i="1"/>
  <c r="F116" i="1"/>
  <c r="E116" i="1"/>
  <c r="I116" i="1" s="1"/>
  <c r="G115" i="1"/>
  <c r="F115" i="1"/>
  <c r="E115" i="1"/>
  <c r="I115" i="1" s="1"/>
  <c r="G114" i="1"/>
  <c r="F114" i="1"/>
  <c r="E114" i="1"/>
  <c r="I114" i="1" s="1"/>
  <c r="G113" i="1"/>
  <c r="F113" i="1"/>
  <c r="E113" i="1"/>
  <c r="I113" i="1" s="1"/>
  <c r="G112" i="1"/>
  <c r="F112" i="1"/>
  <c r="E112" i="1"/>
  <c r="I112" i="1" s="1"/>
  <c r="G111" i="1"/>
  <c r="F111" i="1"/>
  <c r="E111" i="1"/>
  <c r="I111" i="1" s="1"/>
  <c r="G110" i="1"/>
  <c r="F110" i="1"/>
  <c r="E110" i="1"/>
  <c r="I110" i="1" s="1"/>
  <c r="G109" i="1"/>
  <c r="F109" i="1"/>
  <c r="E109" i="1"/>
  <c r="I109" i="1" s="1"/>
  <c r="G108" i="1"/>
  <c r="F108" i="1"/>
  <c r="E108" i="1"/>
  <c r="I108" i="1" s="1"/>
  <c r="G107" i="1"/>
  <c r="F107" i="1"/>
  <c r="E107" i="1"/>
  <c r="I107" i="1" s="1"/>
  <c r="G106" i="1"/>
  <c r="F106" i="1"/>
  <c r="E106" i="1"/>
  <c r="I106" i="1" s="1"/>
  <c r="G105" i="1"/>
  <c r="F105" i="1"/>
  <c r="E105" i="1"/>
  <c r="I105" i="1" s="1"/>
  <c r="G104" i="1"/>
  <c r="F104" i="1"/>
  <c r="E104" i="1"/>
  <c r="I104" i="1" s="1"/>
  <c r="G103" i="1"/>
  <c r="F103" i="1"/>
  <c r="E103" i="1"/>
  <c r="I103" i="1" s="1"/>
  <c r="G102" i="1"/>
  <c r="F102" i="1"/>
  <c r="E102" i="1"/>
  <c r="I102" i="1" s="1"/>
  <c r="G101" i="1"/>
  <c r="F101" i="1"/>
  <c r="E101" i="1"/>
  <c r="I101" i="1" s="1"/>
  <c r="G100" i="1"/>
  <c r="F100" i="1"/>
  <c r="E100" i="1"/>
  <c r="I100" i="1" s="1"/>
  <c r="G99" i="1"/>
  <c r="F99" i="1"/>
  <c r="E99" i="1"/>
  <c r="I99" i="1" s="1"/>
  <c r="G98" i="1"/>
  <c r="F98" i="1"/>
  <c r="E98" i="1"/>
  <c r="I98" i="1" s="1"/>
  <c r="G97" i="1"/>
  <c r="F97" i="1"/>
  <c r="E97" i="1"/>
  <c r="I97" i="1" s="1"/>
  <c r="G96" i="1"/>
  <c r="F96" i="1"/>
  <c r="E96" i="1"/>
  <c r="I96" i="1" s="1"/>
  <c r="G95" i="1"/>
  <c r="F95" i="1"/>
  <c r="E95" i="1"/>
  <c r="I95" i="1" s="1"/>
  <c r="G94" i="1"/>
  <c r="F94" i="1"/>
  <c r="E94" i="1"/>
  <c r="I94" i="1" s="1"/>
  <c r="G93" i="1"/>
  <c r="F93" i="1"/>
  <c r="E93" i="1"/>
  <c r="I93" i="1" s="1"/>
  <c r="G92" i="1"/>
  <c r="F92" i="1"/>
  <c r="E92" i="1"/>
  <c r="I92" i="1" s="1"/>
  <c r="G91" i="1"/>
  <c r="F91" i="1"/>
  <c r="E91" i="1"/>
  <c r="I91" i="1" s="1"/>
  <c r="G90" i="1"/>
  <c r="F90" i="1"/>
  <c r="E90" i="1"/>
  <c r="I90" i="1" s="1"/>
  <c r="G89" i="1"/>
  <c r="F89" i="1"/>
  <c r="E89" i="1"/>
  <c r="I89" i="1" s="1"/>
  <c r="G88" i="1"/>
  <c r="F88" i="1"/>
  <c r="E88" i="1"/>
  <c r="I88" i="1" s="1"/>
  <c r="G87" i="1"/>
  <c r="F87" i="1"/>
  <c r="E87" i="1"/>
  <c r="I87" i="1" s="1"/>
  <c r="G86" i="1"/>
  <c r="F86" i="1"/>
  <c r="E86" i="1"/>
  <c r="I86" i="1" s="1"/>
  <c r="G85" i="1"/>
  <c r="F85" i="1"/>
  <c r="E85" i="1"/>
  <c r="I85" i="1" s="1"/>
  <c r="G84" i="1"/>
  <c r="F84" i="1"/>
  <c r="E84" i="1"/>
  <c r="I84" i="1" s="1"/>
  <c r="G83" i="1"/>
  <c r="F83" i="1"/>
  <c r="E83" i="1"/>
  <c r="I83" i="1" s="1"/>
  <c r="G82" i="1"/>
  <c r="F82" i="1"/>
  <c r="E82" i="1"/>
  <c r="I82" i="1" s="1"/>
  <c r="G81" i="1"/>
  <c r="F81" i="1"/>
  <c r="E81" i="1"/>
  <c r="I81" i="1" s="1"/>
  <c r="G80" i="1"/>
  <c r="F80" i="1"/>
  <c r="E80" i="1"/>
  <c r="I80" i="1" s="1"/>
  <c r="G79" i="1"/>
  <c r="F79" i="1"/>
  <c r="E79" i="1"/>
  <c r="I79" i="1" s="1"/>
  <c r="G78" i="1"/>
  <c r="F78" i="1"/>
  <c r="E78" i="1"/>
  <c r="I78" i="1" s="1"/>
  <c r="G77" i="1"/>
  <c r="F77" i="1"/>
  <c r="E77" i="1"/>
  <c r="I77" i="1" s="1"/>
  <c r="G76" i="1"/>
  <c r="F76" i="1"/>
  <c r="E76" i="1"/>
  <c r="I76" i="1" s="1"/>
  <c r="G75" i="1"/>
  <c r="F75" i="1"/>
  <c r="E75" i="1"/>
  <c r="I75" i="1" s="1"/>
  <c r="G74" i="1"/>
  <c r="F74" i="1"/>
  <c r="E74" i="1"/>
  <c r="I74" i="1" s="1"/>
  <c r="G73" i="1"/>
  <c r="F73" i="1"/>
  <c r="E73" i="1"/>
  <c r="I73" i="1" s="1"/>
  <c r="G72" i="1"/>
  <c r="F72" i="1"/>
  <c r="E72" i="1"/>
  <c r="I72" i="1" s="1"/>
  <c r="G71" i="1"/>
  <c r="F71" i="1"/>
  <c r="E71" i="1"/>
  <c r="I71" i="1" s="1"/>
  <c r="G70" i="1"/>
  <c r="F70" i="1"/>
  <c r="E70" i="1"/>
  <c r="I70" i="1" s="1"/>
  <c r="G69" i="1"/>
  <c r="F69" i="1"/>
  <c r="E69" i="1"/>
  <c r="I69" i="1" s="1"/>
  <c r="G68" i="1"/>
  <c r="F68" i="1"/>
  <c r="E68" i="1"/>
  <c r="I68" i="1" s="1"/>
  <c r="G67" i="1"/>
  <c r="F67" i="1"/>
  <c r="E67" i="1"/>
  <c r="I67" i="1" s="1"/>
  <c r="G18" i="1"/>
  <c r="F18" i="1"/>
  <c r="E18" i="1"/>
  <c r="G17" i="1"/>
  <c r="F17" i="1"/>
  <c r="E17" i="1"/>
  <c r="G15" i="1"/>
  <c r="F15" i="1"/>
  <c r="E15" i="1"/>
  <c r="G14" i="1"/>
  <c r="F14" i="1"/>
  <c r="E14" i="1"/>
  <c r="G13" i="1"/>
  <c r="F13" i="1"/>
  <c r="E13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3" i="1"/>
  <c r="F3" i="1"/>
  <c r="E3" i="1"/>
  <c r="G2" i="1"/>
  <c r="F2" i="1"/>
  <c r="I157" i="1" l="1"/>
  <c r="J157" i="1" s="1"/>
  <c r="I18" i="1"/>
  <c r="J18" i="1" s="1"/>
  <c r="Q15" i="1"/>
  <c r="J386" i="1"/>
  <c r="K386" i="1"/>
  <c r="K388" i="1"/>
  <c r="J388" i="1"/>
  <c r="J390" i="1"/>
  <c r="K390" i="1"/>
  <c r="K392" i="1"/>
  <c r="J392" i="1"/>
  <c r="J394" i="1"/>
  <c r="K394" i="1"/>
  <c r="K396" i="1"/>
  <c r="J396" i="1"/>
  <c r="J398" i="1"/>
  <c r="K398" i="1"/>
  <c r="J400" i="1"/>
  <c r="K400" i="1"/>
  <c r="J402" i="1"/>
  <c r="K402" i="1"/>
  <c r="K404" i="1"/>
  <c r="J404" i="1"/>
  <c r="J406" i="1"/>
  <c r="K406" i="1"/>
  <c r="K408" i="1"/>
  <c r="J408" i="1"/>
  <c r="J410" i="1"/>
  <c r="K410" i="1"/>
  <c r="K412" i="1"/>
  <c r="J412" i="1"/>
  <c r="J414" i="1"/>
  <c r="K414" i="1"/>
  <c r="K416" i="1"/>
  <c r="J416" i="1"/>
  <c r="J418" i="1"/>
  <c r="K418" i="1"/>
  <c r="K420" i="1"/>
  <c r="J420" i="1"/>
  <c r="J422" i="1"/>
  <c r="K422" i="1"/>
  <c r="K424" i="1"/>
  <c r="J424" i="1"/>
  <c r="J426" i="1"/>
  <c r="K426" i="1"/>
  <c r="K428" i="1"/>
  <c r="J428" i="1"/>
  <c r="J430" i="1"/>
  <c r="K430" i="1"/>
  <c r="K432" i="1"/>
  <c r="J432" i="1"/>
  <c r="J434" i="1"/>
  <c r="K434" i="1"/>
  <c r="K436" i="1"/>
  <c r="J436" i="1"/>
  <c r="J438" i="1"/>
  <c r="K438" i="1"/>
  <c r="K440" i="1"/>
  <c r="J440" i="1"/>
  <c r="J442" i="1"/>
  <c r="K442" i="1"/>
  <c r="J444" i="1"/>
  <c r="K444" i="1"/>
  <c r="J446" i="1"/>
  <c r="K446" i="1"/>
  <c r="K448" i="1"/>
  <c r="J448" i="1"/>
  <c r="J450" i="1"/>
  <c r="K450" i="1"/>
  <c r="K452" i="1"/>
  <c r="J452" i="1"/>
  <c r="J454" i="1"/>
  <c r="K454" i="1"/>
  <c r="K456" i="1"/>
  <c r="J456" i="1"/>
  <c r="J458" i="1"/>
  <c r="K458" i="1"/>
  <c r="K460" i="1"/>
  <c r="J460" i="1"/>
  <c r="J462" i="1"/>
  <c r="K462" i="1"/>
  <c r="K464" i="1"/>
  <c r="J464" i="1"/>
  <c r="J466" i="1"/>
  <c r="K466" i="1"/>
  <c r="K468" i="1"/>
  <c r="J468" i="1"/>
  <c r="J470" i="1"/>
  <c r="K470" i="1"/>
  <c r="K472" i="1"/>
  <c r="J472" i="1"/>
  <c r="J474" i="1"/>
  <c r="K474" i="1"/>
  <c r="J476" i="1"/>
  <c r="K476" i="1"/>
  <c r="J478" i="1"/>
  <c r="K478" i="1"/>
  <c r="K480" i="1"/>
  <c r="J480" i="1"/>
  <c r="J482" i="1"/>
  <c r="K482" i="1"/>
  <c r="J484" i="1"/>
  <c r="K484" i="1"/>
  <c r="J486" i="1"/>
  <c r="K486" i="1"/>
  <c r="K488" i="1"/>
  <c r="J488" i="1"/>
  <c r="J490" i="1"/>
  <c r="K490" i="1"/>
  <c r="K492" i="1"/>
  <c r="J492" i="1"/>
  <c r="J494" i="1"/>
  <c r="K494" i="1"/>
  <c r="J496" i="1"/>
  <c r="K496" i="1"/>
  <c r="J498" i="1"/>
  <c r="K498" i="1"/>
  <c r="K500" i="1"/>
  <c r="J500" i="1"/>
  <c r="J387" i="1"/>
  <c r="K387" i="1"/>
  <c r="K391" i="1"/>
  <c r="J391" i="1"/>
  <c r="K399" i="1"/>
  <c r="J399" i="1"/>
  <c r="K403" i="1"/>
  <c r="J403" i="1"/>
  <c r="K407" i="1"/>
  <c r="J407" i="1"/>
  <c r="J411" i="1"/>
  <c r="K411" i="1"/>
  <c r="K415" i="1"/>
  <c r="J415" i="1"/>
  <c r="J419" i="1"/>
  <c r="K419" i="1"/>
  <c r="K423" i="1"/>
  <c r="J423" i="1"/>
  <c r="K427" i="1"/>
  <c r="J427" i="1"/>
  <c r="J431" i="1"/>
  <c r="K431" i="1"/>
  <c r="K435" i="1"/>
  <c r="J435" i="1"/>
  <c r="J439" i="1"/>
  <c r="K439" i="1"/>
  <c r="K443" i="1"/>
  <c r="J443" i="1"/>
  <c r="J447" i="1"/>
  <c r="K447" i="1"/>
  <c r="K451" i="1"/>
  <c r="J451" i="1"/>
  <c r="J455" i="1"/>
  <c r="K455" i="1"/>
  <c r="K459" i="1"/>
  <c r="J459" i="1"/>
  <c r="K463" i="1"/>
  <c r="J463" i="1"/>
  <c r="J467" i="1"/>
  <c r="K467" i="1"/>
  <c r="K471" i="1"/>
  <c r="J471" i="1"/>
  <c r="J475" i="1"/>
  <c r="K475" i="1"/>
  <c r="K479" i="1"/>
  <c r="J479" i="1"/>
  <c r="K483" i="1"/>
  <c r="J483" i="1"/>
  <c r="J487" i="1"/>
  <c r="K487" i="1"/>
  <c r="K491" i="1"/>
  <c r="J491" i="1"/>
  <c r="K495" i="1"/>
  <c r="J495" i="1"/>
  <c r="J499" i="1"/>
  <c r="K499" i="1"/>
  <c r="K389" i="1"/>
  <c r="J389" i="1"/>
  <c r="J393" i="1"/>
  <c r="K393" i="1"/>
  <c r="J395" i="1"/>
  <c r="K395" i="1"/>
  <c r="J397" i="1"/>
  <c r="K397" i="1"/>
  <c r="J401" i="1"/>
  <c r="K401" i="1"/>
  <c r="K405" i="1"/>
  <c r="J405" i="1"/>
  <c r="J409" i="1"/>
  <c r="K409" i="1"/>
  <c r="J413" i="1"/>
  <c r="K413" i="1"/>
  <c r="J417" i="1"/>
  <c r="K417" i="1"/>
  <c r="K421" i="1"/>
  <c r="J421" i="1"/>
  <c r="K425" i="1"/>
  <c r="J425" i="1"/>
  <c r="J429" i="1"/>
  <c r="K429" i="1"/>
  <c r="J433" i="1"/>
  <c r="K433" i="1"/>
  <c r="K437" i="1"/>
  <c r="J437" i="1"/>
  <c r="J441" i="1"/>
  <c r="K441" i="1"/>
  <c r="K445" i="1"/>
  <c r="J445" i="1"/>
  <c r="J449" i="1"/>
  <c r="K449" i="1"/>
  <c r="K453" i="1"/>
  <c r="J453" i="1"/>
  <c r="K457" i="1"/>
  <c r="J457" i="1"/>
  <c r="J461" i="1"/>
  <c r="K461" i="1"/>
  <c r="J465" i="1"/>
  <c r="K465" i="1"/>
  <c r="J469" i="1"/>
  <c r="K469" i="1"/>
  <c r="K473" i="1"/>
  <c r="J473" i="1"/>
  <c r="J477" i="1"/>
  <c r="K477" i="1"/>
  <c r="J481" i="1"/>
  <c r="K481" i="1"/>
  <c r="J485" i="1"/>
  <c r="K485" i="1"/>
  <c r="K489" i="1"/>
  <c r="J489" i="1"/>
  <c r="J493" i="1"/>
  <c r="K493" i="1"/>
  <c r="K497" i="1"/>
  <c r="J497" i="1"/>
  <c r="I3" i="1"/>
  <c r="I7" i="1"/>
  <c r="J7" i="1" s="1"/>
  <c r="I9" i="1"/>
  <c r="I13" i="1"/>
  <c r="I8" i="1"/>
  <c r="K8" i="1" s="1"/>
  <c r="I14" i="1"/>
  <c r="K14" i="1" s="1"/>
  <c r="I11" i="1"/>
  <c r="J11" i="1" s="1"/>
  <c r="I15" i="1"/>
  <c r="J15" i="1" s="1"/>
  <c r="I17" i="1"/>
  <c r="I10" i="1"/>
  <c r="J77" i="1"/>
  <c r="K77" i="1"/>
  <c r="J93" i="1"/>
  <c r="K93" i="1"/>
  <c r="J107" i="1"/>
  <c r="K107" i="1"/>
  <c r="J113" i="1"/>
  <c r="K113" i="1"/>
  <c r="J119" i="1"/>
  <c r="K119" i="1"/>
  <c r="J127" i="1"/>
  <c r="K127" i="1"/>
  <c r="J131" i="1"/>
  <c r="K131" i="1"/>
  <c r="J139" i="1"/>
  <c r="K139" i="1"/>
  <c r="K145" i="1"/>
  <c r="J145" i="1"/>
  <c r="J151" i="1"/>
  <c r="K151" i="1"/>
  <c r="J163" i="1"/>
  <c r="K163" i="1"/>
  <c r="J167" i="1"/>
  <c r="K167" i="1"/>
  <c r="J191" i="1"/>
  <c r="K191" i="1"/>
  <c r="K197" i="1"/>
  <c r="J197" i="1"/>
  <c r="K203" i="1"/>
  <c r="J203" i="1"/>
  <c r="K209" i="1"/>
  <c r="J209" i="1"/>
  <c r="J215" i="1"/>
  <c r="K215" i="1"/>
  <c r="J223" i="1"/>
  <c r="K223" i="1"/>
  <c r="K229" i="1"/>
  <c r="J229" i="1"/>
  <c r="K235" i="1"/>
  <c r="J235" i="1"/>
  <c r="J241" i="1"/>
  <c r="K241" i="1"/>
  <c r="J247" i="1"/>
  <c r="K247" i="1"/>
  <c r="J253" i="1"/>
  <c r="K253" i="1"/>
  <c r="J257" i="1"/>
  <c r="K257" i="1"/>
  <c r="J265" i="1"/>
  <c r="K265" i="1"/>
  <c r="J271" i="1"/>
  <c r="K271" i="1"/>
  <c r="J275" i="1"/>
  <c r="K275" i="1"/>
  <c r="K281" i="1"/>
  <c r="J281" i="1"/>
  <c r="K289" i="1"/>
  <c r="J289" i="1"/>
  <c r="K293" i="1"/>
  <c r="J293" i="1"/>
  <c r="K301" i="1"/>
  <c r="J301" i="1"/>
  <c r="J307" i="1"/>
  <c r="K307" i="1"/>
  <c r="J311" i="1"/>
  <c r="K311" i="1"/>
  <c r="J317" i="1"/>
  <c r="K317" i="1"/>
  <c r="K325" i="1"/>
  <c r="J325" i="1"/>
  <c r="J329" i="1"/>
  <c r="K329" i="1"/>
  <c r="J335" i="1"/>
  <c r="K335" i="1"/>
  <c r="J341" i="1"/>
  <c r="K341" i="1"/>
  <c r="J347" i="1"/>
  <c r="K347" i="1"/>
  <c r="J353" i="1"/>
  <c r="K353" i="1"/>
  <c r="J361" i="1"/>
  <c r="K361" i="1"/>
  <c r="K365" i="1"/>
  <c r="J365" i="1"/>
  <c r="J373" i="1"/>
  <c r="K373" i="1"/>
  <c r="J379" i="1"/>
  <c r="K379" i="1"/>
  <c r="J383" i="1"/>
  <c r="K383" i="1"/>
  <c r="J79" i="1"/>
  <c r="K79" i="1"/>
  <c r="J91" i="1"/>
  <c r="K91" i="1"/>
  <c r="J105" i="1"/>
  <c r="K105" i="1"/>
  <c r="J115" i="1"/>
  <c r="K115" i="1"/>
  <c r="K121" i="1"/>
  <c r="J121" i="1"/>
  <c r="J125" i="1"/>
  <c r="K125" i="1"/>
  <c r="J133" i="1"/>
  <c r="K133" i="1"/>
  <c r="K137" i="1"/>
  <c r="J137" i="1"/>
  <c r="J143" i="1"/>
  <c r="K143" i="1"/>
  <c r="J149" i="1"/>
  <c r="K149" i="1"/>
  <c r="J155" i="1"/>
  <c r="K155" i="1"/>
  <c r="K161" i="1"/>
  <c r="J161" i="1"/>
  <c r="K169" i="1"/>
  <c r="J169" i="1"/>
  <c r="J173" i="1"/>
  <c r="K173" i="1"/>
  <c r="J193" i="1"/>
  <c r="K193" i="1"/>
  <c r="J199" i="1"/>
  <c r="K199" i="1"/>
  <c r="J205" i="1"/>
  <c r="K205" i="1"/>
  <c r="K211" i="1"/>
  <c r="J211" i="1"/>
  <c r="J217" i="1"/>
  <c r="K217" i="1"/>
  <c r="J221" i="1"/>
  <c r="K221" i="1"/>
  <c r="J227" i="1"/>
  <c r="K227" i="1"/>
  <c r="J233" i="1"/>
  <c r="K233" i="1"/>
  <c r="J239" i="1"/>
  <c r="K239" i="1"/>
  <c r="J245" i="1"/>
  <c r="K245" i="1"/>
  <c r="J251" i="1"/>
  <c r="K251" i="1"/>
  <c r="J259" i="1"/>
  <c r="K259" i="1"/>
  <c r="J263" i="1"/>
  <c r="K263" i="1"/>
  <c r="K269" i="1"/>
  <c r="J269" i="1"/>
  <c r="J277" i="1"/>
  <c r="K277" i="1"/>
  <c r="J283" i="1"/>
  <c r="K283" i="1"/>
  <c r="J287" i="1"/>
  <c r="K287" i="1"/>
  <c r="J295" i="1"/>
  <c r="K295" i="1"/>
  <c r="K299" i="1"/>
  <c r="J299" i="1"/>
  <c r="J305" i="1"/>
  <c r="K305" i="1"/>
  <c r="K313" i="1"/>
  <c r="J313" i="1"/>
  <c r="J319" i="1"/>
  <c r="K319" i="1"/>
  <c r="J323" i="1"/>
  <c r="K323" i="1"/>
  <c r="K331" i="1"/>
  <c r="J331" i="1"/>
  <c r="J337" i="1"/>
  <c r="K337" i="1"/>
  <c r="J343" i="1"/>
  <c r="K343" i="1"/>
  <c r="J349" i="1"/>
  <c r="K349" i="1"/>
  <c r="J355" i="1"/>
  <c r="K355" i="1"/>
  <c r="J359" i="1"/>
  <c r="K359" i="1"/>
  <c r="J367" i="1"/>
  <c r="K367" i="1"/>
  <c r="J371" i="1"/>
  <c r="K371" i="1"/>
  <c r="K377" i="1"/>
  <c r="J377" i="1"/>
  <c r="K385" i="1"/>
  <c r="J385" i="1"/>
  <c r="J69" i="1"/>
  <c r="K69" i="1"/>
  <c r="J83" i="1"/>
  <c r="K83" i="1"/>
  <c r="J95" i="1"/>
  <c r="K95" i="1"/>
  <c r="J109" i="1"/>
  <c r="K109" i="1"/>
  <c r="J74" i="1"/>
  <c r="K74" i="1"/>
  <c r="K82" i="1"/>
  <c r="J82" i="1"/>
  <c r="K88" i="1"/>
  <c r="J88" i="1"/>
  <c r="K92" i="1"/>
  <c r="J92" i="1"/>
  <c r="K100" i="1"/>
  <c r="J100" i="1"/>
  <c r="K108" i="1"/>
  <c r="J108" i="1"/>
  <c r="J114" i="1"/>
  <c r="K114" i="1"/>
  <c r="J122" i="1"/>
  <c r="K122" i="1"/>
  <c r="J126" i="1"/>
  <c r="K126" i="1"/>
  <c r="J134" i="1"/>
  <c r="K134" i="1"/>
  <c r="J142" i="1"/>
  <c r="K142" i="1"/>
  <c r="K148" i="1"/>
  <c r="J148" i="1"/>
  <c r="K152" i="1"/>
  <c r="J152" i="1"/>
  <c r="K160" i="1"/>
  <c r="J160" i="1"/>
  <c r="K168" i="1"/>
  <c r="J168" i="1"/>
  <c r="J194" i="1"/>
  <c r="K194" i="1"/>
  <c r="J202" i="1"/>
  <c r="K202" i="1"/>
  <c r="J210" i="1"/>
  <c r="K210" i="1"/>
  <c r="K212" i="1"/>
  <c r="J212" i="1"/>
  <c r="K220" i="1"/>
  <c r="J220" i="1"/>
  <c r="K228" i="1"/>
  <c r="J228" i="1"/>
  <c r="K236" i="1"/>
  <c r="J236" i="1"/>
  <c r="J242" i="1"/>
  <c r="K242" i="1"/>
  <c r="J246" i="1"/>
  <c r="K246" i="1"/>
  <c r="J254" i="1"/>
  <c r="K254" i="1"/>
  <c r="J262" i="1"/>
  <c r="K262" i="1"/>
  <c r="J270" i="1"/>
  <c r="K270" i="1"/>
  <c r="K272" i="1"/>
  <c r="J272" i="1"/>
  <c r="K280" i="1"/>
  <c r="J280" i="1"/>
  <c r="J288" i="1"/>
  <c r="K288" i="1"/>
  <c r="J296" i="1"/>
  <c r="K296" i="1"/>
  <c r="J302" i="1"/>
  <c r="K302" i="1"/>
  <c r="J306" i="1"/>
  <c r="K306" i="1"/>
  <c r="J314" i="1"/>
  <c r="K314" i="1"/>
  <c r="J322" i="1"/>
  <c r="K322" i="1"/>
  <c r="J330" i="1"/>
  <c r="K330" i="1"/>
  <c r="K336" i="1"/>
  <c r="J336" i="1"/>
  <c r="K340" i="1"/>
  <c r="J340" i="1"/>
  <c r="K348" i="1"/>
  <c r="J348" i="1"/>
  <c r="K356" i="1"/>
  <c r="J356" i="1"/>
  <c r="K364" i="1"/>
  <c r="J364" i="1"/>
  <c r="J366" i="1"/>
  <c r="K366" i="1"/>
  <c r="J374" i="1"/>
  <c r="K374" i="1"/>
  <c r="J382" i="1"/>
  <c r="K382" i="1"/>
  <c r="J71" i="1"/>
  <c r="K71" i="1"/>
  <c r="J85" i="1"/>
  <c r="K85" i="1"/>
  <c r="J99" i="1"/>
  <c r="K99" i="1"/>
  <c r="K70" i="1"/>
  <c r="J70" i="1"/>
  <c r="K76" i="1"/>
  <c r="J76" i="1"/>
  <c r="K84" i="1"/>
  <c r="J84" i="1"/>
  <c r="J94" i="1"/>
  <c r="K94" i="1"/>
  <c r="J102" i="1"/>
  <c r="K102" i="1"/>
  <c r="K112" i="1"/>
  <c r="J112" i="1"/>
  <c r="J118" i="1"/>
  <c r="K118" i="1"/>
  <c r="J130" i="1"/>
  <c r="K130" i="1"/>
  <c r="K136" i="1"/>
  <c r="J136" i="1"/>
  <c r="J146" i="1"/>
  <c r="J154" i="1"/>
  <c r="K154" i="1"/>
  <c r="J162" i="1"/>
  <c r="K162" i="1"/>
  <c r="J170" i="1"/>
  <c r="K170" i="1"/>
  <c r="K196" i="1"/>
  <c r="J196" i="1"/>
  <c r="J206" i="1"/>
  <c r="K206" i="1"/>
  <c r="J214" i="1"/>
  <c r="K214" i="1"/>
  <c r="J222" i="1"/>
  <c r="K222" i="1"/>
  <c r="J230" i="1"/>
  <c r="K230" i="1"/>
  <c r="J238" i="1"/>
  <c r="K238" i="1"/>
  <c r="K248" i="1"/>
  <c r="J248" i="1"/>
  <c r="J256" i="1"/>
  <c r="K256" i="1"/>
  <c r="J266" i="1"/>
  <c r="K266" i="1"/>
  <c r="J274" i="1"/>
  <c r="K274" i="1"/>
  <c r="K284" i="1"/>
  <c r="J284" i="1"/>
  <c r="J290" i="1"/>
  <c r="K290" i="1"/>
  <c r="J298" i="1"/>
  <c r="K298" i="1"/>
  <c r="K308" i="1"/>
  <c r="J308" i="1"/>
  <c r="J318" i="1"/>
  <c r="K318" i="1"/>
  <c r="K324" i="1"/>
  <c r="J324" i="1"/>
  <c r="J334" i="1"/>
  <c r="K334" i="1"/>
  <c r="K344" i="1"/>
  <c r="J344" i="1"/>
  <c r="J350" i="1"/>
  <c r="K350" i="1"/>
  <c r="J358" i="1"/>
  <c r="K358" i="1"/>
  <c r="K368" i="1"/>
  <c r="J368" i="1"/>
  <c r="K376" i="1"/>
  <c r="J376" i="1"/>
  <c r="J73" i="1"/>
  <c r="K73" i="1"/>
  <c r="J89" i="1"/>
  <c r="K89" i="1"/>
  <c r="J101" i="1"/>
  <c r="K101" i="1"/>
  <c r="K68" i="1"/>
  <c r="J68" i="1"/>
  <c r="J78" i="1"/>
  <c r="K78" i="1"/>
  <c r="J86" i="1"/>
  <c r="K86" i="1"/>
  <c r="J96" i="1"/>
  <c r="K96" i="1"/>
  <c r="K104" i="1"/>
  <c r="J104" i="1"/>
  <c r="J110" i="1"/>
  <c r="K110" i="1"/>
  <c r="J120" i="1"/>
  <c r="K120" i="1"/>
  <c r="J128" i="1"/>
  <c r="K128" i="1"/>
  <c r="J138" i="1"/>
  <c r="K138" i="1"/>
  <c r="K144" i="1"/>
  <c r="J144" i="1"/>
  <c r="K156" i="1"/>
  <c r="J156" i="1"/>
  <c r="K164" i="1"/>
  <c r="J164" i="1"/>
  <c r="K172" i="1"/>
  <c r="J172" i="1"/>
  <c r="J190" i="1"/>
  <c r="K190" i="1"/>
  <c r="J198" i="1"/>
  <c r="K198" i="1"/>
  <c r="K204" i="1"/>
  <c r="J204" i="1"/>
  <c r="J216" i="1"/>
  <c r="K216" i="1"/>
  <c r="J224" i="1"/>
  <c r="K224" i="1"/>
  <c r="J232" i="1"/>
  <c r="K232" i="1"/>
  <c r="K240" i="1"/>
  <c r="J240" i="1"/>
  <c r="J250" i="1"/>
  <c r="K250" i="1"/>
  <c r="J258" i="1"/>
  <c r="K258" i="1"/>
  <c r="J264" i="1"/>
  <c r="K264" i="1"/>
  <c r="K276" i="1"/>
  <c r="J276" i="1"/>
  <c r="J282" i="1"/>
  <c r="K282" i="1"/>
  <c r="K292" i="1"/>
  <c r="J292" i="1"/>
  <c r="K300" i="1"/>
  <c r="J300" i="1"/>
  <c r="J310" i="1"/>
  <c r="K310" i="1"/>
  <c r="K316" i="1"/>
  <c r="J316" i="1"/>
  <c r="J326" i="1"/>
  <c r="K326" i="1"/>
  <c r="K332" i="1"/>
  <c r="J332" i="1"/>
  <c r="J342" i="1"/>
  <c r="K342" i="1"/>
  <c r="K352" i="1"/>
  <c r="J352" i="1"/>
  <c r="J360" i="1"/>
  <c r="K360" i="1"/>
  <c r="J370" i="1"/>
  <c r="K370" i="1"/>
  <c r="J378" i="1"/>
  <c r="K378" i="1"/>
  <c r="K384" i="1"/>
  <c r="J384" i="1"/>
  <c r="J75" i="1"/>
  <c r="K75" i="1"/>
  <c r="J87" i="1"/>
  <c r="K87" i="1"/>
  <c r="J103" i="1"/>
  <c r="K103" i="1"/>
  <c r="J72" i="1"/>
  <c r="K72" i="1"/>
  <c r="J80" i="1"/>
  <c r="K80" i="1"/>
  <c r="K90" i="1"/>
  <c r="J90" i="1"/>
  <c r="K98" i="1"/>
  <c r="J98" i="1"/>
  <c r="J106" i="1"/>
  <c r="K106" i="1"/>
  <c r="K116" i="1"/>
  <c r="J116" i="1"/>
  <c r="K124" i="1"/>
  <c r="J124" i="1"/>
  <c r="K132" i="1"/>
  <c r="J132" i="1"/>
  <c r="K140" i="1"/>
  <c r="J140" i="1"/>
  <c r="J150" i="1"/>
  <c r="K150" i="1"/>
  <c r="J158" i="1"/>
  <c r="K158" i="1"/>
  <c r="J166" i="1"/>
  <c r="K166" i="1"/>
  <c r="J174" i="1"/>
  <c r="K174" i="1"/>
  <c r="J192" i="1"/>
  <c r="K192" i="1"/>
  <c r="K200" i="1"/>
  <c r="J200" i="1"/>
  <c r="K208" i="1"/>
  <c r="J208" i="1"/>
  <c r="J218" i="1"/>
  <c r="K218" i="1"/>
  <c r="J226" i="1"/>
  <c r="K226" i="1"/>
  <c r="J234" i="1"/>
  <c r="K234" i="1"/>
  <c r="K244" i="1"/>
  <c r="J244" i="1"/>
  <c r="K252" i="1"/>
  <c r="J252" i="1"/>
  <c r="K260" i="1"/>
  <c r="J260" i="1"/>
  <c r="K268" i="1"/>
  <c r="J268" i="1"/>
  <c r="J278" i="1"/>
  <c r="K278" i="1"/>
  <c r="J286" i="1"/>
  <c r="K286" i="1"/>
  <c r="J294" i="1"/>
  <c r="K294" i="1"/>
  <c r="K304" i="1"/>
  <c r="J304" i="1"/>
  <c r="K312" i="1"/>
  <c r="J312" i="1"/>
  <c r="J320" i="1"/>
  <c r="K320" i="1"/>
  <c r="J328" i="1"/>
  <c r="K328" i="1"/>
  <c r="J338" i="1"/>
  <c r="K338" i="1"/>
  <c r="J346" i="1"/>
  <c r="K346" i="1"/>
  <c r="J354" i="1"/>
  <c r="K354" i="1"/>
  <c r="J362" i="1"/>
  <c r="K362" i="1"/>
  <c r="K372" i="1"/>
  <c r="J372" i="1"/>
  <c r="K380" i="1"/>
  <c r="J380" i="1"/>
  <c r="J67" i="1"/>
  <c r="K67" i="1"/>
  <c r="K81" i="1"/>
  <c r="J81" i="1"/>
  <c r="K97" i="1"/>
  <c r="J97" i="1"/>
  <c r="J111" i="1"/>
  <c r="K111" i="1"/>
  <c r="J117" i="1"/>
  <c r="K117" i="1"/>
  <c r="J123" i="1"/>
  <c r="K123" i="1"/>
  <c r="J129" i="1"/>
  <c r="K129" i="1"/>
  <c r="J135" i="1"/>
  <c r="K135" i="1"/>
  <c r="J141" i="1"/>
  <c r="K141" i="1"/>
  <c r="J147" i="1"/>
  <c r="K153" i="1"/>
  <c r="J153" i="1"/>
  <c r="J159" i="1"/>
  <c r="K159" i="1"/>
  <c r="J165" i="1"/>
  <c r="K165" i="1"/>
  <c r="J171" i="1"/>
  <c r="K171" i="1"/>
  <c r="K195" i="1"/>
  <c r="J195" i="1"/>
  <c r="J201" i="1"/>
  <c r="K201" i="1"/>
  <c r="J207" i="1"/>
  <c r="K207" i="1"/>
  <c r="K213" i="1"/>
  <c r="J213" i="1"/>
  <c r="K219" i="1"/>
  <c r="J219" i="1"/>
  <c r="J225" i="1"/>
  <c r="K225" i="1"/>
  <c r="J231" i="1"/>
  <c r="K231" i="1"/>
  <c r="K237" i="1"/>
  <c r="J237" i="1"/>
  <c r="J243" i="1"/>
  <c r="K243" i="1"/>
  <c r="K249" i="1"/>
  <c r="J249" i="1"/>
  <c r="J255" i="1"/>
  <c r="K255" i="1"/>
  <c r="K261" i="1"/>
  <c r="J261" i="1"/>
  <c r="K267" i="1"/>
  <c r="J267" i="1"/>
  <c r="J273" i="1"/>
  <c r="K273" i="1"/>
  <c r="J279" i="1"/>
  <c r="K279" i="1"/>
  <c r="J285" i="1"/>
  <c r="K285" i="1"/>
  <c r="J291" i="1"/>
  <c r="K291" i="1"/>
  <c r="J297" i="1"/>
  <c r="K297" i="1"/>
  <c r="J303" i="1"/>
  <c r="K303" i="1"/>
  <c r="J309" i="1"/>
  <c r="K309" i="1"/>
  <c r="J315" i="1"/>
  <c r="K315" i="1"/>
  <c r="J321" i="1"/>
  <c r="K321" i="1"/>
  <c r="J327" i="1"/>
  <c r="K327" i="1"/>
  <c r="K333" i="1"/>
  <c r="J333" i="1"/>
  <c r="J339" i="1"/>
  <c r="K339" i="1"/>
  <c r="K345" i="1"/>
  <c r="J345" i="1"/>
  <c r="J351" i="1"/>
  <c r="K351" i="1"/>
  <c r="K357" i="1"/>
  <c r="J357" i="1"/>
  <c r="K363" i="1"/>
  <c r="J363" i="1"/>
  <c r="J369" i="1"/>
  <c r="K369" i="1"/>
  <c r="J375" i="1"/>
  <c r="K375" i="1"/>
  <c r="J381" i="1"/>
  <c r="K381" i="1"/>
  <c r="K157" i="1" l="1"/>
  <c r="K18" i="1"/>
  <c r="J13" i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J3" i="1"/>
  <c r="R65" i="1" s="1"/>
  <c r="T65" i="1" s="1"/>
  <c r="J8" i="1"/>
  <c r="K15" i="1"/>
  <c r="K7" i="1"/>
  <c r="K11" i="1"/>
  <c r="K3" i="1"/>
  <c r="J14" i="1"/>
  <c r="K13" i="1"/>
  <c r="J17" i="1"/>
  <c r="K9" i="1"/>
  <c r="J10" i="1"/>
  <c r="J9" i="1"/>
  <c r="K17" i="1"/>
  <c r="K10" i="1"/>
  <c r="R3" i="1" l="1"/>
  <c r="S1" i="1" s="1"/>
  <c r="U1" i="1" s="1"/>
  <c r="R72" i="1"/>
  <c r="T72" i="1" s="1"/>
  <c r="R61" i="1"/>
  <c r="R22" i="1"/>
  <c r="T22" i="1" s="1"/>
  <c r="R35" i="1"/>
  <c r="T35" i="1" s="1"/>
  <c r="R50" i="1"/>
  <c r="T50" i="1" s="1"/>
  <c r="R8" i="1"/>
  <c r="T8" i="1" s="1"/>
  <c r="R71" i="1"/>
  <c r="T71" i="1" s="1"/>
  <c r="R42" i="1"/>
  <c r="T42" i="1" s="1"/>
  <c r="R19" i="1"/>
  <c r="T19" i="1" s="1"/>
  <c r="R75" i="1"/>
  <c r="T75" i="1" s="1"/>
  <c r="R52" i="1"/>
  <c r="T52" i="1" s="1"/>
  <c r="R44" i="1"/>
  <c r="T44" i="1" s="1"/>
  <c r="R53" i="1"/>
  <c r="T53" i="1" s="1"/>
  <c r="R38" i="1"/>
  <c r="T38" i="1" s="1"/>
  <c r="R23" i="1"/>
  <c r="T23" i="1" s="1"/>
  <c r="R57" i="1"/>
  <c r="T57" i="1" s="1"/>
  <c r="R34" i="1"/>
  <c r="T34" i="1" s="1"/>
  <c r="R11" i="1"/>
  <c r="T11" i="1" s="1"/>
  <c r="R67" i="1"/>
  <c r="T67" i="1" s="1"/>
  <c r="R59" i="1"/>
  <c r="T59" i="1" s="1"/>
  <c r="R36" i="1"/>
  <c r="T36" i="1" s="1"/>
  <c r="R45" i="1"/>
  <c r="T45" i="1" s="1"/>
  <c r="R30" i="1"/>
  <c r="T30" i="1" s="1"/>
  <c r="R15" i="1"/>
  <c r="T15" i="1" s="1"/>
  <c r="R64" i="1"/>
  <c r="T64" i="1" s="1"/>
  <c r="R49" i="1"/>
  <c r="T49" i="1" s="1"/>
  <c r="R26" i="1"/>
  <c r="T26" i="1" s="1"/>
  <c r="R74" i="1"/>
  <c r="T74" i="1" s="1"/>
  <c r="R51" i="1"/>
  <c r="T51" i="1" s="1"/>
  <c r="R28" i="1"/>
  <c r="T28" i="1" s="1"/>
  <c r="R37" i="1"/>
  <c r="T37" i="1" s="1"/>
  <c r="R56" i="1"/>
  <c r="T56" i="1" s="1"/>
  <c r="R41" i="1"/>
  <c r="T41" i="1" s="1"/>
  <c r="R18" i="1"/>
  <c r="T18" i="1" s="1"/>
  <c r="R10" i="1"/>
  <c r="T10" i="1" s="1"/>
  <c r="R66" i="1"/>
  <c r="T66" i="1" s="1"/>
  <c r="R43" i="1"/>
  <c r="T43" i="1" s="1"/>
  <c r="R21" i="1"/>
  <c r="T21" i="1" s="1"/>
  <c r="R29" i="1"/>
  <c r="T29" i="1" s="1"/>
  <c r="R7" i="1"/>
  <c r="T7" i="1" s="1"/>
  <c r="R63" i="1"/>
  <c r="T63" i="1" s="1"/>
  <c r="R48" i="1"/>
  <c r="T48" i="1" s="1"/>
  <c r="R33" i="1"/>
  <c r="T33" i="1" s="1"/>
  <c r="R25" i="1"/>
  <c r="T25" i="1" s="1"/>
  <c r="R2" i="1"/>
  <c r="T2" i="1" s="1"/>
  <c r="R58" i="1"/>
  <c r="T58" i="1" s="1"/>
  <c r="R13" i="1"/>
  <c r="T13" i="1" s="1"/>
  <c r="R76" i="1"/>
  <c r="T76" i="1" s="1"/>
  <c r="R14" i="1"/>
  <c r="T14" i="1" s="1"/>
  <c r="R70" i="1"/>
  <c r="T70" i="1" s="1"/>
  <c r="R55" i="1"/>
  <c r="T55" i="1" s="1"/>
  <c r="R40" i="1"/>
  <c r="T40" i="1" s="1"/>
  <c r="R32" i="1"/>
  <c r="T32" i="1" s="1"/>
  <c r="R17" i="1"/>
  <c r="T17" i="1" s="1"/>
  <c r="R73" i="1"/>
  <c r="T73" i="1" s="1"/>
  <c r="R20" i="1"/>
  <c r="T20" i="1" s="1"/>
  <c r="R12" i="1"/>
  <c r="T12" i="1" s="1"/>
  <c r="R68" i="1"/>
  <c r="T68" i="1" s="1"/>
  <c r="R6" i="1"/>
  <c r="T6" i="1" s="1"/>
  <c r="R62" i="1"/>
  <c r="T62" i="1" s="1"/>
  <c r="R47" i="1"/>
  <c r="T47" i="1" s="1"/>
  <c r="R39" i="1"/>
  <c r="T39" i="1" s="1"/>
  <c r="R24" i="1"/>
  <c r="T24" i="1" s="1"/>
  <c r="R9" i="1"/>
  <c r="T9" i="1" s="1"/>
  <c r="R5" i="1"/>
  <c r="T5" i="1" s="1"/>
  <c r="R27" i="1"/>
  <c r="T27" i="1" s="1"/>
  <c r="R4" i="1"/>
  <c r="T4" i="1" s="1"/>
  <c r="R60" i="1"/>
  <c r="T60" i="1" s="1"/>
  <c r="R69" i="1"/>
  <c r="T69" i="1" s="1"/>
  <c r="R54" i="1"/>
  <c r="T54" i="1" s="1"/>
  <c r="R46" i="1"/>
  <c r="T46" i="1" s="1"/>
  <c r="R31" i="1"/>
  <c r="T31" i="1" s="1"/>
  <c r="R16" i="1"/>
  <c r="T16" i="1" s="1"/>
  <c r="T61" i="1"/>
  <c r="K29" i="16"/>
  <c r="T3" i="1" l="1"/>
  <c r="T1" i="1" s="1"/>
  <c r="R1" i="1"/>
  <c r="W46" i="1"/>
  <c r="Q52" i="1"/>
  <c r="Q53" i="1" l="1"/>
  <c r="Q54" i="1" l="1"/>
  <c r="Q55" i="1" l="1"/>
  <c r="Q56" i="1" l="1"/>
  <c r="Q57" i="1" l="1"/>
  <c r="Q58" i="1" l="1"/>
  <c r="Q59" i="1" l="1"/>
  <c r="Q60" i="1" l="1"/>
  <c r="Q61" i="1" l="1"/>
  <c r="Q62" i="1" l="1"/>
  <c r="Q63" i="1" l="1"/>
  <c r="Q64" i="1" l="1"/>
  <c r="Q65" i="1" l="1"/>
  <c r="Q66" i="1" l="1"/>
  <c r="Q67" i="1" l="1"/>
  <c r="Q68" i="1" l="1"/>
  <c r="Q69" i="1" l="1"/>
  <c r="Q70" i="1" l="1"/>
  <c r="Q71" i="1" l="1"/>
  <c r="Q72" i="1" l="1"/>
  <c r="Q73" i="1" l="1"/>
  <c r="Q74" i="1" l="1"/>
  <c r="Q75" i="1" l="1"/>
  <c r="Q76" i="1" l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H54" i="16" a="1"/>
  <c r="H54" i="16" s="1"/>
  <c r="H64" i="16" a="1"/>
  <c r="H64" i="16" s="1"/>
  <c r="G58" i="16" a="1"/>
  <c r="G58" i="16" s="1"/>
  <c r="G63" i="16" a="1"/>
  <c r="G63" i="16" s="1"/>
  <c r="H62" i="16" a="1"/>
  <c r="H62" i="16" s="1"/>
  <c r="G14" i="16" a="1"/>
  <c r="G14" i="16" s="1"/>
  <c r="G62" i="16" a="1"/>
  <c r="G62" i="16" s="1"/>
  <c r="B16" i="16" a="1"/>
  <c r="B16" i="16" s="1"/>
  <c r="B58" i="16" a="1"/>
  <c r="B58" i="16" s="1"/>
  <c r="B17" i="16" a="1"/>
  <c r="B17" i="16" s="1"/>
  <c r="B63" i="16" a="1"/>
  <c r="B63" i="16" s="1"/>
  <c r="H27" i="16" a="1"/>
  <c r="H27" i="16" s="1"/>
  <c r="B60" i="16" a="1"/>
  <c r="B60" i="16" s="1"/>
  <c r="H63" i="16" a="1"/>
  <c r="H63" i="16" s="1"/>
  <c r="B21" i="16" a="1"/>
  <c r="B21" i="16" s="1"/>
  <c r="H60" i="16" a="1"/>
  <c r="H60" i="16" s="1"/>
  <c r="B61" i="16" a="1"/>
  <c r="B61" i="16" s="1"/>
  <c r="B59" i="16" a="1"/>
  <c r="B59" i="16" s="1"/>
  <c r="H53" i="16" a="1"/>
  <c r="H53" i="16" s="1"/>
  <c r="G16" i="16" a="1"/>
  <c r="G16" i="16" s="1"/>
  <c r="G15" i="16" a="1"/>
  <c r="G15" i="16" s="1"/>
  <c r="H21" i="16" a="1"/>
  <c r="H21" i="16" s="1"/>
  <c r="H56" i="16" a="1"/>
  <c r="H56" i="16" s="1"/>
  <c r="H59" i="16" a="1"/>
  <c r="H59" i="16" s="1"/>
  <c r="G17" i="16" a="1"/>
  <c r="G17" i="16" s="1"/>
  <c r="H14" i="16" a="1"/>
  <c r="H14" i="16" s="1"/>
  <c r="J14" i="16" s="1"/>
  <c r="H23" i="16" a="1"/>
  <c r="H23" i="16" s="1"/>
  <c r="G25" i="16" a="1"/>
  <c r="G25" i="16" s="1"/>
  <c r="H57" i="16" a="1"/>
  <c r="H57" i="16" s="1"/>
  <c r="G57" i="16" a="1"/>
  <c r="G57" i="16" s="1"/>
  <c r="H17" i="16" a="1"/>
  <c r="H17" i="16" s="1"/>
  <c r="J17" i="16" s="1"/>
  <c r="B64" i="16" a="1"/>
  <c r="B64" i="16" s="1"/>
  <c r="G21" i="16" a="1"/>
  <c r="G21" i="16" s="1"/>
  <c r="B55" i="16" a="1"/>
  <c r="B55" i="16" s="1"/>
  <c r="G61" i="16" a="1"/>
  <c r="G61" i="16" s="1"/>
  <c r="B15" i="16" a="1"/>
  <c r="B15" i="16" s="1"/>
  <c r="B54" i="16" a="1"/>
  <c r="B54" i="16" s="1"/>
  <c r="H15" i="16" a="1"/>
  <c r="H15" i="16" s="1"/>
  <c r="J15" i="16" s="1"/>
  <c r="G55" i="16" a="1"/>
  <c r="G55" i="16" s="1"/>
  <c r="G64" i="16" a="1"/>
  <c r="G64" i="16" s="1"/>
  <c r="H58" i="16" a="1"/>
  <c r="H58" i="16" s="1"/>
  <c r="H51" i="16" a="1"/>
  <c r="H51" i="16" s="1"/>
  <c r="B53" i="16" a="1"/>
  <c r="B53" i="16" s="1"/>
  <c r="G51" i="16" a="1"/>
  <c r="G51" i="16" s="1"/>
  <c r="G27" i="16" a="1"/>
  <c r="G27" i="16" s="1"/>
  <c r="B56" i="16" a="1"/>
  <c r="B56" i="16" s="1"/>
  <c r="G52" i="16" a="1"/>
  <c r="G52" i="16" s="1"/>
  <c r="G59" i="16" a="1"/>
  <c r="G59" i="16" s="1"/>
  <c r="G54" i="16" a="1"/>
  <c r="G54" i="16" s="1"/>
  <c r="I54" i="16" s="1"/>
  <c r="H61" i="16" a="1"/>
  <c r="H61" i="16" s="1"/>
  <c r="B25" i="16" a="1"/>
  <c r="B25" i="16" s="1"/>
  <c r="H25" i="16" a="1"/>
  <c r="H25" i="16" s="1"/>
  <c r="B57" i="16" a="1"/>
  <c r="B57" i="16" s="1"/>
  <c r="G60" i="16" a="1"/>
  <c r="G60" i="16" s="1"/>
  <c r="G19" i="16" a="1"/>
  <c r="G19" i="16" s="1"/>
  <c r="G23" i="16" a="1"/>
  <c r="G23" i="16" s="1"/>
  <c r="G53" i="16" a="1"/>
  <c r="G53" i="16" s="1"/>
  <c r="B52" i="16" a="1"/>
  <c r="B52" i="16" s="1"/>
  <c r="B27" i="16" a="1"/>
  <c r="B27" i="16" s="1"/>
  <c r="H19" i="16" a="1"/>
  <c r="H19" i="16" s="1"/>
  <c r="J19" i="16" s="1"/>
  <c r="B23" i="16" a="1"/>
  <c r="B23" i="16" s="1"/>
  <c r="B19" i="16" a="1"/>
  <c r="B19" i="16" s="1"/>
  <c r="H52" i="16" a="1"/>
  <c r="H52" i="16" s="1"/>
  <c r="B62" i="16" a="1"/>
  <c r="B62" i="16" s="1"/>
  <c r="H16" i="16" a="1"/>
  <c r="H16" i="16" s="1"/>
  <c r="J16" i="16" s="1"/>
  <c r="H55" i="16" a="1"/>
  <c r="H55" i="16" s="1"/>
  <c r="G56" i="16" a="1"/>
  <c r="G56" i="16" s="1"/>
  <c r="G24" i="16" l="1" a="1"/>
  <c r="G24" i="16" s="1"/>
  <c r="H24" i="16" a="1"/>
  <c r="H24" i="16" s="1"/>
  <c r="B24" i="16" a="1"/>
  <c r="B24" i="16" s="1"/>
  <c r="I64" i="16"/>
  <c r="I59" i="16"/>
  <c r="I53" i="16"/>
  <c r="I23" i="16"/>
  <c r="I27" i="16"/>
  <c r="G50" i="16" a="1"/>
  <c r="G50" i="16" s="1"/>
  <c r="G13" i="16" a="1"/>
  <c r="G13" i="16" s="1"/>
  <c r="B13" i="16" a="1"/>
  <c r="B13" i="16" s="1"/>
  <c r="B50" i="16" a="1"/>
  <c r="B50" i="16" s="1"/>
  <c r="H50" i="16" a="1"/>
  <c r="H50" i="16" s="1"/>
  <c r="H13" i="16" a="1"/>
  <c r="H13" i="16" s="1"/>
  <c r="J13" i="16" s="1"/>
  <c r="I60" i="16"/>
  <c r="I56" i="16"/>
  <c r="I21" i="16"/>
  <c r="I51" i="16"/>
  <c r="I17" i="16"/>
  <c r="E52" i="16"/>
  <c r="C52" i="16"/>
  <c r="C54" i="16"/>
  <c r="E54" i="16"/>
  <c r="I57" i="16"/>
  <c r="E21" i="16"/>
  <c r="L21" i="16"/>
  <c r="C21" i="16"/>
  <c r="I62" i="16"/>
  <c r="E25" i="16"/>
  <c r="C25" i="16"/>
  <c r="L25" i="16"/>
  <c r="I14" i="16"/>
  <c r="E62" i="16"/>
  <c r="C62" i="16"/>
  <c r="E53" i="16"/>
  <c r="C53" i="16"/>
  <c r="E15" i="16"/>
  <c r="C15" i="16"/>
  <c r="L15" i="16"/>
  <c r="I25" i="16"/>
  <c r="I15" i="16"/>
  <c r="E60" i="16"/>
  <c r="C60" i="16"/>
  <c r="I61" i="16"/>
  <c r="I16" i="16"/>
  <c r="I63" i="16"/>
  <c r="E19" i="16"/>
  <c r="L19" i="16"/>
  <c r="C19" i="16"/>
  <c r="I19" i="16"/>
  <c r="E55" i="16"/>
  <c r="C55" i="16"/>
  <c r="C63" i="16"/>
  <c r="E63" i="16"/>
  <c r="I58" i="16"/>
  <c r="C23" i="16"/>
  <c r="E23" i="16"/>
  <c r="L23" i="16"/>
  <c r="E59" i="16"/>
  <c r="C59" i="16"/>
  <c r="E17" i="16"/>
  <c r="C17" i="16"/>
  <c r="L17" i="16"/>
  <c r="I52" i="16"/>
  <c r="I55" i="16"/>
  <c r="C64" i="16"/>
  <c r="E64" i="16"/>
  <c r="E61" i="16"/>
  <c r="C61" i="16"/>
  <c r="C58" i="16"/>
  <c r="E58" i="16"/>
  <c r="C27" i="16"/>
  <c r="L27" i="16"/>
  <c r="E27" i="16"/>
  <c r="E57" i="16"/>
  <c r="C57" i="16"/>
  <c r="C56" i="16"/>
  <c r="E56" i="16"/>
  <c r="C16" i="16"/>
  <c r="L16" i="16"/>
  <c r="E16" i="16"/>
  <c r="G26" i="16" a="1"/>
  <c r="G26" i="16" s="1"/>
  <c r="B51" i="16" a="1"/>
  <c r="B51" i="16" s="1"/>
  <c r="G20" i="16" a="1"/>
  <c r="G20" i="16" s="1"/>
  <c r="H18" i="16" a="1"/>
  <c r="H18" i="16" s="1"/>
  <c r="J18" i="16" s="1"/>
  <c r="B18" i="16" a="1"/>
  <c r="B18" i="16" s="1"/>
  <c r="H20" i="16" a="1"/>
  <c r="H20" i="16" s="1"/>
  <c r="B26" i="16" a="1"/>
  <c r="B26" i="16" s="1"/>
  <c r="B22" i="16" a="1"/>
  <c r="B22" i="16" s="1"/>
  <c r="B14" i="16" a="1"/>
  <c r="B14" i="16" s="1"/>
  <c r="H22" i="16" a="1"/>
  <c r="H22" i="16" s="1"/>
  <c r="B20" i="16" a="1"/>
  <c r="B20" i="16" s="1"/>
  <c r="G22" i="16" a="1"/>
  <c r="G22" i="16" s="1"/>
  <c r="G18" i="16" a="1"/>
  <c r="G18" i="16" s="1"/>
  <c r="H26" i="16" a="1"/>
  <c r="H26" i="16" s="1"/>
  <c r="I24" i="16" l="1"/>
  <c r="J24" i="16" s="1"/>
  <c r="E24" i="16"/>
  <c r="C24" i="16"/>
  <c r="I13" i="16"/>
  <c r="I50" i="16"/>
  <c r="I66" i="16" s="1"/>
  <c r="I67" i="16" s="1"/>
  <c r="E50" i="16"/>
  <c r="C50" i="16"/>
  <c r="E13" i="16"/>
  <c r="L13" i="16"/>
  <c r="C13" i="16"/>
  <c r="I18" i="16"/>
  <c r="I22" i="16"/>
  <c r="C22" i="16"/>
  <c r="E22" i="16"/>
  <c r="L22" i="16"/>
  <c r="I26" i="16"/>
  <c r="L24" i="16"/>
  <c r="C14" i="16"/>
  <c r="E14" i="16"/>
  <c r="L14" i="16"/>
  <c r="C26" i="16"/>
  <c r="E26" i="16"/>
  <c r="L26" i="16"/>
  <c r="E18" i="16"/>
  <c r="L18" i="16"/>
  <c r="C18" i="16"/>
  <c r="C51" i="16"/>
  <c r="E51" i="16"/>
  <c r="I20" i="16"/>
  <c r="C20" i="16"/>
  <c r="L20" i="16"/>
  <c r="E20" i="16"/>
  <c r="O14" i="16" l="1"/>
  <c r="I68" i="16"/>
  <c r="I70" i="16" s="1"/>
  <c r="C70" i="16" s="1"/>
  <c r="I29" i="16"/>
  <c r="I30" i="16" s="1"/>
  <c r="O13" i="16"/>
  <c r="L29" i="16" l="1"/>
  <c r="I31" i="16"/>
  <c r="I33" i="16" s="1"/>
  <c r="O15" i="16"/>
  <c r="C33" i="16" l="1"/>
  <c r="C29" i="16"/>
  <c r="C66" i="16" s="1"/>
  <c r="O18" i="1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<sst xmlns="http://schemas.openxmlformats.org/spreadsheetml/2006/main" count="4294" uniqueCount="1976">
  <si>
    <t>Code</t>
  </si>
  <si>
    <t>Name</t>
  </si>
  <si>
    <t>Address (1)</t>
  </si>
  <si>
    <t>Address (2)</t>
  </si>
  <si>
    <t>Tax ID</t>
  </si>
  <si>
    <t>Tel.</t>
  </si>
  <si>
    <t>Onetime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</si>
  <si>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</si>
  <si>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</si>
  <si>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</si>
  <si>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</si>
  <si>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</si>
  <si>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</si>
  <si>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</si>
  <si>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</si>
  <si>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</si>
  <si>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</si>
  <si>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</si>
  <si>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</si>
  <si>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</si>
  <si>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</si>
  <si>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</si>
  <si>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</si>
  <si>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</si>
  <si>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</si>
  <si>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</si>
  <si>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</si>
  <si>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</si>
  <si>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</si>
  <si>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</si>
  <si>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</si>
  <si>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</si>
  <si>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</si>
  <si>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</si>
  <si>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</si>
  <si>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</si>
  <si>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</si>
  <si>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</si>
  <si>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</si>
  <si>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</si>
  <si>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</si>
  <si>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</si>
  <si>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</si>
  <si>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</si>
  <si>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</si>
  <si>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</si>
  <si>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</si>
  <si>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</si>
  <si>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</si>
  <si>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</si>
  <si>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</si>
  <si>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</si>
  <si>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</si>
  <si>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</si>
  <si>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</si>
  <si>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</si>
  <si>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</si>
  <si>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</si>
  <si>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</si>
  <si>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</si>
  <si>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</si>
  <si>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</si>
  <si>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</si>
  <si>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</si>
  <si>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</si>
  <si>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</si>
  <si>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</si>
  <si>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</si>
  <si>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</si>
  <si>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</si>
  <si>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</si>
  <si>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</si>
  <si>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</si>
  <si>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</si>
  <si>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</si>
  <si>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</si>
  <si>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</si>
  <si>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</si>
  <si>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</si>
  <si>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</si>
  <si>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</si>
  <si>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</si>
  <si>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</si>
  <si>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</si>
  <si>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</si>
  <si>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</si>
  <si>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</si>
  <si>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</si>
  <si>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</si>
  <si>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</si>
  <si>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</si>
  <si>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</si>
  <si>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</si>
  <si>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</si>
  <si>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</si>
  <si>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</si>
  <si>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</si>
  <si>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</si>
  <si>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</si>
  <si>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</si>
  <si>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</si>
  <si>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</si>
  <si>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</si>
  <si>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</si>
  <si>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</si>
  <si>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</si>
  <si>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</si>
  <si>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Date</t>
  </si>
  <si>
    <t>Invoice no.</t>
  </si>
  <si>
    <t>Barcode</t>
  </si>
  <si>
    <t>UPC</t>
  </si>
  <si>
    <t>SKU</t>
  </si>
  <si>
    <t>Model Name</t>
  </si>
  <si>
    <t>Description</t>
  </si>
  <si>
    <t>Qty</t>
  </si>
  <si>
    <t>PriceBook</t>
  </si>
  <si>
    <t>Vat 7%</t>
  </si>
  <si>
    <t>Discount</t>
  </si>
  <si>
    <t>Payment</t>
  </si>
  <si>
    <t>Staff</t>
  </si>
  <si>
    <t>Kerry</t>
  </si>
  <si>
    <t>Remark</t>
  </si>
  <si>
    <t>No.#</t>
  </si>
  <si>
    <t>Credit Card</t>
  </si>
  <si>
    <t>Mook</t>
  </si>
  <si>
    <t>Cash</t>
  </si>
  <si>
    <t>New</t>
  </si>
  <si>
    <t>Transfer</t>
  </si>
  <si>
    <t>Namtarn</t>
  </si>
  <si>
    <t>No Tax Invoice</t>
  </si>
  <si>
    <t>บริษัท มิลวอกี้ ทูล (ประเทศไทย) จํากัด</t>
  </si>
  <si>
    <t>ต้นฉบับใบเสร็จรับเงิน</t>
  </si>
  <si>
    <t>Milwaukee Tool (Thailand) Company Limited</t>
  </si>
  <si>
    <t>Original Receipt</t>
  </si>
  <si>
    <t>65/116-117 ชั้น 14 อาคารชำนาญเพ็ญชาติ ถ.พระราม 9 แขวงห้วยขวาง เขตห้วยขวาง กรุงเทพฯ 10310</t>
  </si>
  <si>
    <t>65/116-117 Chamnan Phenjati Building, 14th Floor,Rama 9 Road, Huaykwang District, Bangkok 10310</t>
  </si>
  <si>
    <t>โทรศัพท์ : 66(02) 246 1074-7  แฟกซ์ : 66(02) 246 1078</t>
  </si>
  <si>
    <t>เลขประจำตัวผู้เสียภาษี : 0105558005717        สำนักงานใหญ่ : Head Office</t>
  </si>
  <si>
    <t>สำหรับลูกค้า / Customer</t>
  </si>
  <si>
    <t xml:space="preserve"> ชื่อลูกค้า/Customer :</t>
  </si>
  <si>
    <t xml:space="preserve">เลขที่/No. :  </t>
  </si>
  <si>
    <t xml:space="preserve"> ที่อยู่/Address :</t>
  </si>
  <si>
    <t xml:space="preserve">วันที่/Date :  </t>
  </si>
  <si>
    <t xml:space="preserve"> เลขประจำตัวผู้เสียภาษี/Tax ID :</t>
  </si>
  <si>
    <t xml:space="preserve"> เบอร์โทร/Telephone :</t>
  </si>
  <si>
    <t>ลำดับที่
Items</t>
  </si>
  <si>
    <t>รายละเอียด
Description</t>
  </si>
  <si>
    <t>ปริมาณ
Quantity</t>
  </si>
  <si>
    <t>ราคา / หน่วย
Price per Unit</t>
  </si>
  <si>
    <t>จำนวนเงิน
Amount</t>
  </si>
  <si>
    <t>หมายเหตุ :</t>
  </si>
  <si>
    <t>จำนวนเงินรวม / Total Amount</t>
  </si>
  <si>
    <t>รับประกันสินค้าตามเงื่อนไขของผู้ผลิต ไม่รับเปลี่ยนหรือคืนสินค้า เว้นแต่กรณีที่สินค้าชำรุดเนื่องมาจากความบกพร่องของตัวสินค้าเอง</t>
  </si>
  <si>
    <t>ภาษีมูลค่าเพิ่ม / Vat 7%</t>
  </si>
  <si>
    <t>ชำระโดย :</t>
  </si>
  <si>
    <t xml:space="preserve">จำนวนเงินรวมทั้งสิ้น / Grand Total </t>
  </si>
  <si>
    <t>จำนวนส่วนลด / Discount</t>
  </si>
  <si>
    <t>บาท / Baht</t>
  </si>
  <si>
    <t>จำนวนเงินรวมสุทธิ / Total Net</t>
  </si>
  <si>
    <t>***</t>
  </si>
  <si>
    <t>ผู้รับเงิน / Received by</t>
  </si>
  <si>
    <t>สำเนาใบเสร็จรับเงิน</t>
  </si>
  <si>
    <t>Copy Receipt</t>
  </si>
  <si>
    <t>สำหรับบริษัท / Company</t>
  </si>
  <si>
    <t>Cashier :</t>
  </si>
  <si>
    <t>ProductGroup</t>
  </si>
  <si>
    <t>Support From</t>
  </si>
  <si>
    <t>SellPrice (Exc. VAT)</t>
  </si>
  <si>
    <t>SellPrice (Inc. VAT)</t>
  </si>
  <si>
    <t>008049487</t>
  </si>
  <si>
    <t>ชุดดอกเจาะเหล็กไทเทเนี่ยม Red Hex HSS-G Titanium (10 ดอก)</t>
  </si>
  <si>
    <t>Accessories</t>
  </si>
  <si>
    <t>TH</t>
  </si>
  <si>
    <t>*45242502066*</t>
  </si>
  <si>
    <t>129303445</t>
  </si>
  <si>
    <t>ดอกโรตารี่ SDS+ 8.0 x 50 x 110 มม.</t>
  </si>
  <si>
    <t>*4002395308866*</t>
  </si>
  <si>
    <t>129303446</t>
  </si>
  <si>
    <t>ดอกโรตารี่ SDS+ 8.0 x 100 x 160 มม.</t>
  </si>
  <si>
    <t>*4002395308873*</t>
  </si>
  <si>
    <t>129303457</t>
  </si>
  <si>
    <t>ดอกโรตารี่ SDS+ 10 x 100 x 160 มม.</t>
  </si>
  <si>
    <t>*4002395308897*</t>
  </si>
  <si>
    <t>129303436</t>
  </si>
  <si>
    <t>ดอกโรตารี่ SDS+ 6.5 x 50 x 110 มม.</t>
  </si>
  <si>
    <t>*4002395312276*</t>
  </si>
  <si>
    <t>129303437</t>
  </si>
  <si>
    <t>ดอกโรตารี่ SDS+ 6.5 x 100 x 160 มม.</t>
  </si>
  <si>
    <t>*4002395312269*</t>
  </si>
  <si>
    <t>008052901</t>
  </si>
  <si>
    <t>ชุดดอกสว่านอเนกประสงค์ (8 ชิ้น)</t>
  </si>
  <si>
    <t>*4058546287405*</t>
  </si>
  <si>
    <t>001998659</t>
  </si>
  <si>
    <t>ใบมีดตัดหญ้า</t>
  </si>
  <si>
    <t>*4058546413262*</t>
  </si>
  <si>
    <t>006101901</t>
  </si>
  <si>
    <t>ชุดประแจบล็อก 1/2" 28 ชิ้น</t>
  </si>
  <si>
    <t>*4058546297633*</t>
  </si>
  <si>
    <t>001999918</t>
  </si>
  <si>
    <t>ใบมีดสำหรับก้านต่อตัดขอบสนาม</t>
  </si>
  <si>
    <t>*4058546289584*</t>
  </si>
  <si>
    <t>001998668</t>
  </si>
  <si>
    <t>โซ่เลื่อย 8" สำหรับ M18 FHS</t>
  </si>
  <si>
    <t>*4058546404611*</t>
  </si>
  <si>
    <t>001528007</t>
  </si>
  <si>
    <t>ตลับพร้อมเส้นเอ็นเล็มหญ้า 2 มม. x 7.6 ม.</t>
  </si>
  <si>
    <t>*4892210218001*</t>
  </si>
  <si>
    <t>001568005</t>
  </si>
  <si>
    <t> 4932479818</t>
  </si>
  <si>
    <t>ใบมีดตัดหญ้า 21 นิ้ว สำหรับรถเข็นตัดหญ้าไร้สาย 21 นิ้ว ระบบแบตเตอรี่คู่</t>
  </si>
  <si>
    <t>*4058546376123*</t>
  </si>
  <si>
    <t>129221183</t>
  </si>
  <si>
    <t>48-00-1301</t>
  </si>
  <si>
    <t>ใบเลื่อยซอว์ซอลตัดแต่ง 9" Pruning 5 TPI (5 ใบ)</t>
  </si>
  <si>
    <t>*45242081745*</t>
  </si>
  <si>
    <t>129221184</t>
  </si>
  <si>
    <t>48-00-1303</t>
  </si>
  <si>
    <t>ใบเลื่อยซอว์ซอลตัดแต่ง 12" Pruning 5 TPI (5 ใบ)</t>
  </si>
  <si>
    <t>*45242081769*</t>
  </si>
  <si>
    <t>129221193</t>
  </si>
  <si>
    <t>48-00-4184</t>
  </si>
  <si>
    <t>ใบเลื่อยซอว์ซอลตัดเหล็ก 6" TORCH Thin Kerf Ice Hardened  18 TPI (5 ใบ)</t>
  </si>
  <si>
    <t>*45242081042*</t>
  </si>
  <si>
    <t>129224863</t>
  </si>
  <si>
    <t>48-00-4189</t>
  </si>
  <si>
    <t>ใบเลื่อยซอว์ซอลตัดเหล็ก 12" TORCH Thin Kerf Ice Hardened  18 TPI (5 ใบ)</t>
  </si>
  <si>
    <t>*45242188666*</t>
  </si>
  <si>
    <t>129221197</t>
  </si>
  <si>
    <t>48-00-4712</t>
  </si>
  <si>
    <t>ใบเลื่อยซอว์ซอลตัดเหล็ก 6" TORCH Ice Hardened  10 TPI (5 ใบ)</t>
  </si>
  <si>
    <t>*45242081073*</t>
  </si>
  <si>
    <t>129221199</t>
  </si>
  <si>
    <t>48-00-4782</t>
  </si>
  <si>
    <t>ใบเลื่อยซอว์ซอลตัดเหล็ก 6" TORCH Ice Hardened  14 TPI (5 ใบ)</t>
  </si>
  <si>
    <t>*45242081097*</t>
  </si>
  <si>
    <t>129224935</t>
  </si>
  <si>
    <t>48-00-5021</t>
  </si>
  <si>
    <t>ใบเลื่อยซอว์ซอลตัดไม้ 6" AX  5 TPI (5 ใบ)</t>
  </si>
  <si>
    <t>*45242082988*</t>
  </si>
  <si>
    <t>129221208</t>
  </si>
  <si>
    <t>48-00-5026</t>
  </si>
  <si>
    <t>ใบเลื่อยซอว์ซอลตัดไม้ 9" AX  5 TPI (5 ใบ)</t>
  </si>
  <si>
    <t>*45242082995*</t>
  </si>
  <si>
    <t>129221209</t>
  </si>
  <si>
    <t>48-00-5027</t>
  </si>
  <si>
    <t>ใบเลื่อยซอว์ซอลตัดไม้ 12" AX  5 TPI (5 ใบ)</t>
  </si>
  <si>
    <t>*45242083022*</t>
  </si>
  <si>
    <t>129221211</t>
  </si>
  <si>
    <t>48-00-5035</t>
  </si>
  <si>
    <t>ใบเลื่อยซอว์ซอลตัดไม้ 6" Thin Kerf  5 TPI (5 ใบ)</t>
  </si>
  <si>
    <t>*45242082698*</t>
  </si>
  <si>
    <t>129221212</t>
  </si>
  <si>
    <t>48-00-5036</t>
  </si>
  <si>
    <t>ใบเลื่อยซอว์ซอลตัดไม้ 9" Thin Kerf  5 TPI (5 ใบ)</t>
  </si>
  <si>
    <t>*45242082704*</t>
  </si>
  <si>
    <t>129221213</t>
  </si>
  <si>
    <t>48-00-5037</t>
  </si>
  <si>
    <t>ใบเลื่อยซอว์ซอลตัดไม้ 12" Thin Kerf  5 TPI (5 ใบ)</t>
  </si>
  <si>
    <t>*45242082711*</t>
  </si>
  <si>
    <t>129221226</t>
  </si>
  <si>
    <t>48-00-5182</t>
  </si>
  <si>
    <t>ใบเลื่อยซอว์ซอลตัดเหล็ก 6" Thin Kerf 14 TPI (5 ใบ)</t>
  </si>
  <si>
    <t>*45242082834*</t>
  </si>
  <si>
    <t>129221228</t>
  </si>
  <si>
    <t>48-00-5184</t>
  </si>
  <si>
    <t>ใบเลื่อยซอว์ซอลตัดเหล็ก 6"  Thin Kerf 18 TPI (5ใบ)</t>
  </si>
  <si>
    <t>*45242082858*</t>
  </si>
  <si>
    <t>129221231</t>
  </si>
  <si>
    <t>48-00-5187</t>
  </si>
  <si>
    <t>ใบเลื่อยซอว์ซอลตัดเหล็ก 9"  Thin Kerf  14 TPI (5ใบ)</t>
  </si>
  <si>
    <t>*45242082889*</t>
  </si>
  <si>
    <t>129221232</t>
  </si>
  <si>
    <t>48-00-5188</t>
  </si>
  <si>
    <t>ใบเลื่อยซอว์ซอลตัดเหล็ก 9" Thin Kerf 18 TPI (5ใบ)</t>
  </si>
  <si>
    <t>*45242082896*</t>
  </si>
  <si>
    <t>129305259</t>
  </si>
  <si>
    <t>48-00-5201</t>
  </si>
  <si>
    <t>ใบเลื่อยซอว์ซอลตัดโลหะ 6" ฟันคาร์ไบด์ 7 TPI (1 ใบ)</t>
  </si>
  <si>
    <t>*45242521036*</t>
  </si>
  <si>
    <t>129305260</t>
  </si>
  <si>
    <t>48-00-5202</t>
  </si>
  <si>
    <t>ใบเลื่อยซอว์ซอลตัดโลหะ 9" ฟันคาร์ไบด์ 7 TPI (1 ใบ)</t>
  </si>
  <si>
    <t>*45242520787*</t>
  </si>
  <si>
    <t>129304826</t>
  </si>
  <si>
    <t>48-00-5221</t>
  </si>
  <si>
    <t>ใบเลื่อยซอว์ซอลตัดไม้ 6" AX ฟันคาร์ไบด์ 5 TPI (1 ใบ)</t>
  </si>
  <si>
    <t>*45242483716*</t>
  </si>
  <si>
    <t>129304827</t>
  </si>
  <si>
    <t>48-00-5226</t>
  </si>
  <si>
    <t>ใบเลื่อยซอว์ซอลตัดไม้ 9" AX ฟันคาร์ไบด์ 5 TPI (1 ใบ)</t>
  </si>
  <si>
    <t>*45242483723*</t>
  </si>
  <si>
    <t>129221240</t>
  </si>
  <si>
    <t>48-00-5701</t>
  </si>
  <si>
    <t>ใบเลื่อยซอว์ซอลตัดอเนกประสงค์ 6" WRECKER  8 TPI (5 ใบ)</t>
  </si>
  <si>
    <t>*45242082476*</t>
  </si>
  <si>
    <t>129221244</t>
  </si>
  <si>
    <t>48-00-5711</t>
  </si>
  <si>
    <t>ใบเลื่อยซอว์ซอลตัดอเนกประสงค์ 12" WRECKER  8 TPI (5 ใบ)</t>
  </si>
  <si>
    <t>*45242082490*</t>
  </si>
  <si>
    <t>129221246</t>
  </si>
  <si>
    <t>48-00-5713</t>
  </si>
  <si>
    <t>ใบเลื่อยซอว์ซอลตัดเหล็ก 9" TORCH 10 TPI (5ใบ)</t>
  </si>
  <si>
    <t>*45242083046*</t>
  </si>
  <si>
    <t>129221247</t>
  </si>
  <si>
    <t>48-00-5782</t>
  </si>
  <si>
    <t>ใบเลื่อยซอว์ซอลตัดเหล็ก 6" TORCH  14 TPI (5ใบ)</t>
  </si>
  <si>
    <t>*45242083060*</t>
  </si>
  <si>
    <t>129221250</t>
  </si>
  <si>
    <t>48-00-5788</t>
  </si>
  <si>
    <t>ใบเลื่อยซอว์ซอลตัดเหล็ก 9" TORCH 18 TPI (5ใบ)</t>
  </si>
  <si>
    <t>*45242083091*</t>
  </si>
  <si>
    <t>129226207</t>
  </si>
  <si>
    <t>48-22-1905</t>
  </si>
  <si>
    <t xml:space="preserve">ใบมีดอเนกประสงค์ 5ใบ </t>
  </si>
  <si>
    <t>*45242268061*</t>
  </si>
  <si>
    <t>077020001</t>
  </si>
  <si>
    <t>48-22-8062</t>
  </si>
  <si>
    <t>4"x4" Nesting Regular Organizer Bin (2PK)</t>
  </si>
  <si>
    <t>*45242617821*</t>
  </si>
  <si>
    <t>077020002</t>
  </si>
  <si>
    <t>48-22-8063</t>
  </si>
  <si>
    <t>4"x8" Nesting Regular Organizer Bin (2PK)</t>
  </si>
  <si>
    <t>*45242617838*</t>
  </si>
  <si>
    <t>076800001</t>
  </si>
  <si>
    <t>48-22-8330</t>
  </si>
  <si>
    <t>PACKOUT Straight Utility Hook</t>
  </si>
  <si>
    <t>*45242617937*</t>
  </si>
  <si>
    <t>076800004</t>
  </si>
  <si>
    <t>48-22-8331</t>
  </si>
  <si>
    <t>PACKOUT Curved Utility Hook</t>
  </si>
  <si>
    <t>*45242617944*</t>
  </si>
  <si>
    <t>076800005</t>
  </si>
  <si>
    <t>48-22-8332</t>
  </si>
  <si>
    <t>PACKOUT Large Hook</t>
  </si>
  <si>
    <t>*45242617951*</t>
  </si>
  <si>
    <t>076800006</t>
  </si>
  <si>
    <t>48-22-8333</t>
  </si>
  <si>
    <t>PACKOUT Large S Hook</t>
  </si>
  <si>
    <t>*45242617968*</t>
  </si>
  <si>
    <t>076800002</t>
  </si>
  <si>
    <t>48-22-8334</t>
  </si>
  <si>
    <t>PACKOUT Small Straight Utility Hook</t>
  </si>
  <si>
    <t>*45242617975*</t>
  </si>
  <si>
    <t>076800003</t>
  </si>
  <si>
    <t>48-22-8335</t>
  </si>
  <si>
    <t>PACKOUT Small Curved Utility Hook</t>
  </si>
  <si>
    <t>*45242617982*</t>
  </si>
  <si>
    <t>076800013</t>
  </si>
  <si>
    <t>48-22-8336</t>
  </si>
  <si>
    <t>PACKOUT Cup Holder</t>
  </si>
  <si>
    <t>*45242617999*</t>
  </si>
  <si>
    <t>076800011</t>
  </si>
  <si>
    <t>48-22-8337</t>
  </si>
  <si>
    <t>PACKOUT Paper Towel Holder</t>
  </si>
  <si>
    <t>*45242618002*</t>
  </si>
  <si>
    <t>076800007</t>
  </si>
  <si>
    <t>48-22-8338</t>
  </si>
  <si>
    <t>PACKOUT M12 Battery Holder</t>
  </si>
  <si>
    <t>*45242618019*</t>
  </si>
  <si>
    <t>076800014</t>
  </si>
  <si>
    <t>48-22-8340</t>
  </si>
  <si>
    <t>PACKOUT Pliers Rack</t>
  </si>
  <si>
    <t>*45242618033*</t>
  </si>
  <si>
    <t>076800012</t>
  </si>
  <si>
    <t>48-22-8341</t>
  </si>
  <si>
    <t>PACKOUT Screwdriver Rack</t>
  </si>
  <si>
    <t>*45242618040*</t>
  </si>
  <si>
    <t>076800009</t>
  </si>
  <si>
    <t>48-22-8343</t>
  </si>
  <si>
    <t>PACKOUT Drill Storage Station</t>
  </si>
  <si>
    <t>*45242618064*</t>
  </si>
  <si>
    <t>076800010</t>
  </si>
  <si>
    <t>48-22-8347</t>
  </si>
  <si>
    <t>PACKOUT Small Shelf</t>
  </si>
  <si>
    <t>*45242618095*</t>
  </si>
  <si>
    <t>076800015</t>
  </si>
  <si>
    <t>48-22-8349</t>
  </si>
  <si>
    <t>PACKOUT Long Handled Storage</t>
  </si>
  <si>
    <t>*45242618101*</t>
  </si>
  <si>
    <t>006060301</t>
  </si>
  <si>
    <t>48-22-9001</t>
  </si>
  <si>
    <t>ชุดประแจบล็อก 3/8" 12 ชิ้น</t>
  </si>
  <si>
    <t>*45242495078*</t>
  </si>
  <si>
    <t>129304414</t>
  </si>
  <si>
    <t>48-32-4006</t>
  </si>
  <si>
    <t>ชุดดอกเจาะและดอกไขควง 40 ชิ้น</t>
  </si>
  <si>
    <t>*45242349586*</t>
  </si>
  <si>
    <t>129305310</t>
  </si>
  <si>
    <t>48-32-4025</t>
  </si>
  <si>
    <t>ชุดดอกเจาะและดอกไขควง 52 ชิ้น</t>
  </si>
  <si>
    <t>*45242511433*</t>
  </si>
  <si>
    <t>008051201</t>
  </si>
  <si>
    <t>48-32-4360D</t>
  </si>
  <si>
    <t>ดอกไขควง PH1-65 มม. Double Ended  (10 ดอก)</t>
  </si>
  <si>
    <t>*45242475209*</t>
  </si>
  <si>
    <t>008051202</t>
  </si>
  <si>
    <t>48-32-4361</t>
  </si>
  <si>
    <t xml:space="preserve">ดอกไขควง PH2-65 มม. Double Ended  (10 ดอก) </t>
  </si>
  <si>
    <t>*45242475216*</t>
  </si>
  <si>
    <t>008051204</t>
  </si>
  <si>
    <t>48-32-4363</t>
  </si>
  <si>
    <t>ดอกไขควง PH1-110 มม. Double Ended  (10 ดอก)</t>
  </si>
  <si>
    <t>*45242476497*</t>
  </si>
  <si>
    <t>008051205</t>
  </si>
  <si>
    <t>48-32-4364</t>
  </si>
  <si>
    <t xml:space="preserve">ดอกไขควง PH2-110 มม. Double Ended  (10 ดอก) </t>
  </si>
  <si>
    <t>*45242475230*</t>
  </si>
  <si>
    <t>129306931</t>
  </si>
  <si>
    <t>49-56-9100J</t>
  </si>
  <si>
    <t>ก้านต่อดอกเจาะโฮลซอว์ 7/16" Quick Change Arbor</t>
  </si>
  <si>
    <t>*45242200832*</t>
  </si>
  <si>
    <t>129303760</t>
  </si>
  <si>
    <t>49-56-7250</t>
  </si>
  <si>
    <t>ก้านต่อดอกเจาะโฮลซอว์ 3/8" Quick Change Arbor</t>
  </si>
  <si>
    <t>*45242225798*</t>
  </si>
  <si>
    <t>129223718</t>
  </si>
  <si>
    <t>49-56-6950</t>
  </si>
  <si>
    <t>ก้านต่อดอกเจาะโฮลซอว์ 1/4"</t>
  </si>
  <si>
    <t>*45242200009*</t>
  </si>
  <si>
    <t>129303756</t>
  </si>
  <si>
    <t>49-56-7055</t>
  </si>
  <si>
    <t>*45242200207*</t>
  </si>
  <si>
    <t>129303728</t>
  </si>
  <si>
    <t>49-56-9637</t>
  </si>
  <si>
    <t>โฮลซอว์ 76 มม.  3" Ice Hardened</t>
  </si>
  <si>
    <t>*45242198528*</t>
  </si>
  <si>
    <t>129303699</t>
  </si>
  <si>
    <t>49-56-9607</t>
  </si>
  <si>
    <t>โฮลซอว์ 22 มม.  7/8" Ice Hardened</t>
  </si>
  <si>
    <t>*45242198344*</t>
  </si>
  <si>
    <t>129303722</t>
  </si>
  <si>
    <t>49-56-9630</t>
  </si>
  <si>
    <t>โฮลซอว์ 60 มม.  2- 3/8" Ice Hardened</t>
  </si>
  <si>
    <t>*45242198481*</t>
  </si>
  <si>
    <t>129303723</t>
  </si>
  <si>
    <t>49-56-9631</t>
  </si>
  <si>
    <t>โฮลซอว์ 64 มม.  2- 1/2" Ice Hardened</t>
  </si>
  <si>
    <t>*45242198498*</t>
  </si>
  <si>
    <t>129222177</t>
  </si>
  <si>
    <t>48-39-0511</t>
  </si>
  <si>
    <t>ใบเลื่อยสายพาน 44-7/8"  14TPI (3 ใบ)</t>
  </si>
  <si>
    <t>*45242132164*</t>
  </si>
  <si>
    <t>129222181</t>
  </si>
  <si>
    <t>48-39-0521</t>
  </si>
  <si>
    <t>ใบเลื่อยสายพาน 44-7/8"  18TPI (3 ใบ)</t>
  </si>
  <si>
    <t>*45242132263*</t>
  </si>
  <si>
    <t>129222174</t>
  </si>
  <si>
    <t>48-39-0501</t>
  </si>
  <si>
    <t>ใบเลื่อยสายพาน 44-7/8"  10TPI (3 ใบ)</t>
  </si>
  <si>
    <t>*45242132096*</t>
  </si>
  <si>
    <t>129304412</t>
  </si>
  <si>
    <t xml:space="preserve">48-32-4408 </t>
  </si>
  <si>
    <t>ชุดดอกไขควงและลูกบล็อก 26 ชิ้น</t>
  </si>
  <si>
    <t>*45242302451*</t>
  </si>
  <si>
    <t>129225591</t>
  </si>
  <si>
    <t>48-32-5030</t>
  </si>
  <si>
    <t xml:space="preserve">อะแดปเตอร์หัวบล็อก 1/4"  แกนหกเหลี่ยม </t>
  </si>
  <si>
    <t>*45242195039*</t>
  </si>
  <si>
    <t>129225592</t>
  </si>
  <si>
    <t>48-32-5031</t>
  </si>
  <si>
    <t xml:space="preserve">อะแดปเตอร์หัวบล็อก 3/8" แกนหกเหลี่ยม </t>
  </si>
  <si>
    <t>*45242195022*</t>
  </si>
  <si>
    <t>129305401</t>
  </si>
  <si>
    <t>48-32-5033</t>
  </si>
  <si>
    <t xml:space="preserve">ชุดอะแดปเตอร์หัวบล็อก 1/4", 3/8", 1/2" แกนหกเหลี่ยม </t>
  </si>
  <si>
    <t>*45242302529*</t>
  </si>
  <si>
    <t>129225281</t>
  </si>
  <si>
    <t>48-40-4075</t>
  </si>
  <si>
    <t xml:space="preserve">ใบเลื่อยวงเดือนตัดเหล็ก 5 3/8" (135 มม.) 50 ฟัน </t>
  </si>
  <si>
    <t>*45242233793*</t>
  </si>
  <si>
    <t>129305604</t>
  </si>
  <si>
    <t>48-40-4215</t>
  </si>
  <si>
    <t xml:space="preserve">ใบเลื่อยวงเดือนตัดเหล็ก 5 7/8" (149 มม.) 34 ฟัน </t>
  </si>
  <si>
    <t>*45242568994*</t>
  </si>
  <si>
    <t>129224786</t>
  </si>
  <si>
    <t>49-00-5324</t>
  </si>
  <si>
    <t>ใบเลื่อยแฮ็คซอลตัดเหล็ก 3-1/2" (5 ใบ)</t>
  </si>
  <si>
    <t>*45242160310*</t>
  </si>
  <si>
    <t>129224787</t>
  </si>
  <si>
    <t>49-00-5410</t>
  </si>
  <si>
    <t>ใบเลื่อยแฮ็คซอลตัดอเนกประสงค์ 4" (5 ใบ)</t>
  </si>
  <si>
    <t>*45242160297*</t>
  </si>
  <si>
    <t>129305663</t>
  </si>
  <si>
    <t>49-10-9001</t>
  </si>
  <si>
    <t>ชุดใบตัดอเนกประสงค์มัลติทูล 3 ใบ</t>
  </si>
  <si>
    <t>*45242571246*</t>
  </si>
  <si>
    <t>129305664</t>
  </si>
  <si>
    <t>49-10-9004</t>
  </si>
  <si>
    <t>ชุดใบตัดไม้มัลติทูล 3 ใบ</t>
  </si>
  <si>
    <t>*45242593828*</t>
  </si>
  <si>
    <t>001999974</t>
  </si>
  <si>
    <t>49-16-2713</t>
  </si>
  <si>
    <t>เส้นเอ็นเล็มหญ้า 2.4 มม. x 76 ม.</t>
  </si>
  <si>
    <t>*4892210150523*</t>
  </si>
  <si>
    <t>001998151</t>
  </si>
  <si>
    <t>49-16-2732</t>
  </si>
  <si>
    <t>โซ่เลื่อย 6" สำหรับ M12 FHS</t>
  </si>
  <si>
    <t>*45242568840*</t>
  </si>
  <si>
    <t>129224799</t>
  </si>
  <si>
    <t>49-22-0220</t>
  </si>
  <si>
    <t>ชุดใบเลื่อยแฮ็คซอลตัดไม้ ท่อโลหะบาง ท่อพีวีซี (10 ใบ)</t>
  </si>
  <si>
    <t>*45242160365*</t>
  </si>
  <si>
    <t>129303441</t>
  </si>
  <si>
    <t>4932353820</t>
  </si>
  <si>
    <t>ดอกโรตารี่ SDS+ 7.0 x 50 x 110 มม.</t>
  </si>
  <si>
    <t>*4002395320134*</t>
  </si>
  <si>
    <t>008053101</t>
  </si>
  <si>
    <t>4932464240</t>
  </si>
  <si>
    <t>ชุดดอกไขควง 32 ชิ้น</t>
  </si>
  <si>
    <t>*4058546221850*</t>
  </si>
  <si>
    <t>001999527</t>
  </si>
  <si>
    <t>4932464497</t>
  </si>
  <si>
    <t>M18 CUTTING JAW FOR M18HCCT-0C</t>
  </si>
  <si>
    <t>*4058546224424*</t>
  </si>
  <si>
    <t>129306261</t>
  </si>
  <si>
    <t>49-36-0601</t>
  </si>
  <si>
    <t xml:space="preserve">แผ่นขัด Correcting </t>
  </si>
  <si>
    <t>*45242774050*</t>
  </si>
  <si>
    <t>129306262</t>
  </si>
  <si>
    <t>49-36-0602</t>
  </si>
  <si>
    <t>แผ่นขัด Polishing</t>
  </si>
  <si>
    <t>*45242774067*</t>
  </si>
  <si>
    <t>008060407</t>
  </si>
  <si>
    <t>49-66-6816</t>
  </si>
  <si>
    <t>ชุดลูกบล็อกกระแทก 3/8" (19 ชิ้น) พร้อมถาดรอง</t>
  </si>
  <si>
    <t>*45242611683*</t>
  </si>
  <si>
    <t>008060409</t>
  </si>
  <si>
    <t xml:space="preserve">49-66-6818 </t>
  </si>
  <si>
    <t>ชุดลูกบล็อกกระแทก 1/2" (16 ชิ้น) พร้อมถาดรอง</t>
  </si>
  <si>
    <t>*45242616657*</t>
  </si>
  <si>
    <t>008058307</t>
  </si>
  <si>
    <t>49-66-7013</t>
  </si>
  <si>
    <t>ชุดลูกบล็อกกระแทก 1/2" (14 ชิ้น)</t>
  </si>
  <si>
    <t>*45242582556*</t>
  </si>
  <si>
    <t>008058308</t>
  </si>
  <si>
    <t>49-66-7014</t>
  </si>
  <si>
    <t>ชุดลูกบล็อกกระแทกยาว 1/2" (14 ชิ้น)</t>
  </si>
  <si>
    <t>*45242582563*</t>
  </si>
  <si>
    <t>008074005</t>
  </si>
  <si>
    <t>49-66-7834</t>
  </si>
  <si>
    <t>ชุดลูกบล็อกถอดล้อรถยนต์แกน 1/2" X 3 ชิ้น</t>
  </si>
  <si>
    <t>*4892210233929*</t>
  </si>
  <si>
    <t>001998279</t>
  </si>
  <si>
    <t>FCHSC18ACCY01</t>
  </si>
  <si>
    <t>โซ่เลื่อย สำหรับ M18 FCHSC</t>
  </si>
  <si>
    <t>*4892210191557*</t>
  </si>
  <si>
    <t>006126701</t>
  </si>
  <si>
    <t>ชุดประแจหกเหลี่ยม 9 ชิ้น</t>
  </si>
  <si>
    <t>Hand Tools</t>
  </si>
  <si>
    <t>*4058546348144*</t>
  </si>
  <si>
    <t>006143201</t>
  </si>
  <si>
    <t>48-22-0307</t>
  </si>
  <si>
    <t>เลื่อยอเนกประสงค์แบบพับ</t>
  </si>
  <si>
    <t>*45242638796*</t>
  </si>
  <si>
    <t>076002492</t>
  </si>
  <si>
    <t>48-22-0616</t>
  </si>
  <si>
    <t>ตลับเมตรรุ่น COMPACT MAGNETIC 5 เมตร/16 ฟุต</t>
  </si>
  <si>
    <t>*4892210183637*</t>
  </si>
  <si>
    <t>076002493</t>
  </si>
  <si>
    <t>48-22-0626</t>
  </si>
  <si>
    <t>ตลับเมตรรุ่น COMPACT MAGNETIC 8 เมตร/26 ฟุต</t>
  </si>
  <si>
    <t>*4892210183644*</t>
  </si>
  <si>
    <t>006105507</t>
  </si>
  <si>
    <t>48-22-1505</t>
  </si>
  <si>
    <t xml:space="preserve">มีดพับอเนกประสงค์ พร้อมช่องเก็บใบมีด รุ่น FASTBACK™ 6 IN 1 </t>
  </si>
  <si>
    <t>Hand tools</t>
  </si>
  <si>
    <t>*45242573912*</t>
  </si>
  <si>
    <t>006084001</t>
  </si>
  <si>
    <t>48-22-1520</t>
  </si>
  <si>
    <t>มีดพับฮันเตอร์</t>
  </si>
  <si>
    <t>*45242534470*</t>
  </si>
  <si>
    <t>006084101</t>
  </si>
  <si>
    <t>48-22-1525</t>
  </si>
  <si>
    <t>มีดพับเล็บเหยี่ยว</t>
  </si>
  <si>
    <t>*45242534487*</t>
  </si>
  <si>
    <t>006084201</t>
  </si>
  <si>
    <t>48-22-1530</t>
  </si>
  <si>
    <t>มีดพับฟันเลื่อยระบบสปริงเปิดปิด</t>
  </si>
  <si>
    <t>*45242534494*</t>
  </si>
  <si>
    <t>006084301</t>
  </si>
  <si>
    <t>48-22-1535</t>
  </si>
  <si>
    <t>มีดพับฟันเลื่อยลายพรางระบบสปริงเปิด/ปิด</t>
  </si>
  <si>
    <t>*45242534500*</t>
  </si>
  <si>
    <t>006089001</t>
  </si>
  <si>
    <t>48-22-1540</t>
  </si>
  <si>
    <t xml:space="preserve">มีดพับ รุ่น FASTBACK™ 5 IN 1 </t>
  </si>
  <si>
    <t>*45242551453*</t>
  </si>
  <si>
    <t>006084404</t>
  </si>
  <si>
    <t>48-22-1906</t>
  </si>
  <si>
    <t>มีดพับคอมแพ็คอเนกประสงค์</t>
  </si>
  <si>
    <t>*45242534395*</t>
  </si>
  <si>
    <t>129305673</t>
  </si>
  <si>
    <t>48-22-1997</t>
  </si>
  <si>
    <t>มีดพับ D2 Hardline 2.5"</t>
  </si>
  <si>
    <t>*45242359158*</t>
  </si>
  <si>
    <t>129305674</t>
  </si>
  <si>
    <t>48-22-1999</t>
  </si>
  <si>
    <t>มีดพับ D2 Hardline 3.5"</t>
  </si>
  <si>
    <t>*45242359172*</t>
  </si>
  <si>
    <t>006138701</t>
  </si>
  <si>
    <t>48-22-2182</t>
  </si>
  <si>
    <t>ประแจหกเหลี่ยมแบบพับเก็บ 8 ชิ้น</t>
  </si>
  <si>
    <t>*45242630585*</t>
  </si>
  <si>
    <t>006157301</t>
  </si>
  <si>
    <t>48-22-2184</t>
  </si>
  <si>
    <t>ประแจหกเหลี่ยมหัวทอร์คแบบพับเก็บ 8 ชิ้น</t>
  </si>
  <si>
    <t>*45242645701*</t>
  </si>
  <si>
    <t>006061101</t>
  </si>
  <si>
    <t>48-22-2700</t>
  </si>
  <si>
    <t>ที่เปิดขวด Milwaukee</t>
  </si>
  <si>
    <t>*45242508006*</t>
  </si>
  <si>
    <t>006151101</t>
  </si>
  <si>
    <t>48-22-2903</t>
  </si>
  <si>
    <t>ไขควงด้ามฟรีอเนกประสงค์ 14in1</t>
  </si>
  <si>
    <t>*45242630479*</t>
  </si>
  <si>
    <t>006151801</t>
  </si>
  <si>
    <t>48-22-2913</t>
  </si>
  <si>
    <t>ไขควงด้ามฟรีอเนกประสงค์ 8in1</t>
  </si>
  <si>
    <t>*45242630547*</t>
  </si>
  <si>
    <t>006050802</t>
  </si>
  <si>
    <t>48-22-3079</t>
  </si>
  <si>
    <t>คีมอเนกประสงค์ 6 IN1</t>
  </si>
  <si>
    <t>*45242251209*</t>
  </si>
  <si>
    <t>006033705</t>
  </si>
  <si>
    <t>48-22-3420</t>
  </si>
  <si>
    <t xml:space="preserve">คีมล็อคปากโค้ง 10"  </t>
  </si>
  <si>
    <t>*45242325276*</t>
  </si>
  <si>
    <t>006033706</t>
  </si>
  <si>
    <t>48-22-3510</t>
  </si>
  <si>
    <t>คีมล็อคปากตรง 10"</t>
  </si>
  <si>
    <t>*45242324996*</t>
  </si>
  <si>
    <t>129304530</t>
  </si>
  <si>
    <t>48-22-4040</t>
  </si>
  <si>
    <t xml:space="preserve">กรรไกรด้ามออฟเซ็ท </t>
  </si>
  <si>
    <t>*45242330997*</t>
  </si>
  <si>
    <t>006031103</t>
  </si>
  <si>
    <t>48-22-4046</t>
  </si>
  <si>
    <t xml:space="preserve">กรรไกรด้ามตรง </t>
  </si>
  <si>
    <t>*45242605255*</t>
  </si>
  <si>
    <t>006031003</t>
  </si>
  <si>
    <t>48-22-4047</t>
  </si>
  <si>
    <t>*45242605262*</t>
  </si>
  <si>
    <t>076001753</t>
  </si>
  <si>
    <t>48-22-5506</t>
  </si>
  <si>
    <t>ตลับเมตรพวงกุญแจ 2 เมตร/6 ฟุต</t>
  </si>
  <si>
    <t>*45242356423*</t>
  </si>
  <si>
    <t>006037301</t>
  </si>
  <si>
    <t>48-22-6100</t>
  </si>
  <si>
    <t xml:space="preserve">คีมปากตรง 9" </t>
  </si>
  <si>
    <t>*45242342228*</t>
  </si>
  <si>
    <t>006037401</t>
  </si>
  <si>
    <t>48-22-6101</t>
  </si>
  <si>
    <t>คีมปากแหลม 8"</t>
  </si>
  <si>
    <t>*45242342211*</t>
  </si>
  <si>
    <t>006051101</t>
  </si>
  <si>
    <t>48-22-6102</t>
  </si>
  <si>
    <t>คีมปากจิ้งจก</t>
  </si>
  <si>
    <t>*45242356089*</t>
  </si>
  <si>
    <t>006037501</t>
  </si>
  <si>
    <t>48-22-6106</t>
  </si>
  <si>
    <t>คีมตัดปากเฉียง 6"</t>
  </si>
  <si>
    <t>*45242342181*</t>
  </si>
  <si>
    <t>006037701</t>
  </si>
  <si>
    <t>48-22-6108</t>
  </si>
  <si>
    <t>คีมตัดปากเฉียง 8"</t>
  </si>
  <si>
    <t>*45242342204*</t>
  </si>
  <si>
    <t>006051001</t>
  </si>
  <si>
    <t>48-22-6109</t>
  </si>
  <si>
    <t>คีมปอกสายไฟ</t>
  </si>
  <si>
    <t>*45242356829*</t>
  </si>
  <si>
    <t>006037903</t>
  </si>
  <si>
    <t>48-22-6210</t>
  </si>
  <si>
    <t xml:space="preserve">คีมคอม้าปากหกเหลี่ยม 10"  </t>
  </si>
  <si>
    <t>*45242342242*</t>
  </si>
  <si>
    <t>006038303</t>
  </si>
  <si>
    <t>48-22-6310H</t>
  </si>
  <si>
    <t>*45242342280*</t>
  </si>
  <si>
    <t>006154901</t>
  </si>
  <si>
    <t>48-22-6533</t>
  </si>
  <si>
    <t>คีมถ่าง-หุบแหวน 2in1 ปากตรง 18 องศา ขนาดกลาง</t>
  </si>
  <si>
    <t>*45242738038*</t>
  </si>
  <si>
    <t>006154902</t>
  </si>
  <si>
    <t>48-22-6534</t>
  </si>
  <si>
    <t>คีมถ่าง-หุบแหวน2in1 ปากงอ 45 องศา ขนาดกลาง</t>
  </si>
  <si>
    <t>*45242738045*</t>
  </si>
  <si>
    <t>006154903</t>
  </si>
  <si>
    <t>48-22-6535</t>
  </si>
  <si>
    <t>คีมถ่าง-หุบแหวน 2in1 ปากงอ 90 องศา ขนาดกลาง</t>
  </si>
  <si>
    <t>*45242738052*</t>
  </si>
  <si>
    <t>006155001</t>
  </si>
  <si>
    <t>48-22-6536</t>
  </si>
  <si>
    <t>คีมถ่าง-หุบแหวน 2in1 ปากตรง 18 องศา ขนาดใหญ่</t>
  </si>
  <si>
    <t>*45242738069*</t>
  </si>
  <si>
    <t>006155002</t>
  </si>
  <si>
    <t>48-22-6537</t>
  </si>
  <si>
    <t>คีมถ่าง-หุบแหวน 2in1 ปากงอ 45 องศา ขนาดใหญ่</t>
  </si>
  <si>
    <t>*45242738076*</t>
  </si>
  <si>
    <t>006155003</t>
  </si>
  <si>
    <t>48-22-6538</t>
  </si>
  <si>
    <t>คีมถ่าง-หุบแหวน2in1  ปากงอ 90 องศา ขนาดใหญ่</t>
  </si>
  <si>
    <t>*45242738083*</t>
  </si>
  <si>
    <t>006044702</t>
  </si>
  <si>
    <t>48-22-7408</t>
  </si>
  <si>
    <t xml:space="preserve">ประแจเลื่อน 8"  </t>
  </si>
  <si>
    <t>*45242356218*</t>
  </si>
  <si>
    <t>076002283</t>
  </si>
  <si>
    <t>48-22-7812</t>
  </si>
  <si>
    <t>ตลับเมตรรุ่น RED 3 เมตร/10 ฟุต</t>
  </si>
  <si>
    <t>*45242502684*</t>
  </si>
  <si>
    <t>076002284</t>
  </si>
  <si>
    <t>48-22-7816</t>
  </si>
  <si>
    <t>ตลับเมตรรุ่น RED 5 เมตร/16 ฟุต</t>
  </si>
  <si>
    <t>*45242502691*</t>
  </si>
  <si>
    <t>076002285</t>
  </si>
  <si>
    <t>48-22-7826</t>
  </si>
  <si>
    <t>ตลับเมตรรุ่น RED 8 เมตร/26 ฟุต</t>
  </si>
  <si>
    <t>*45242502707*</t>
  </si>
  <si>
    <t>129305986</t>
  </si>
  <si>
    <t>48-22-8045</t>
  </si>
  <si>
    <t>ถาดเครื่องมือพร้อมหูหิ้ว PACKOUT™ Tool Caddy</t>
  </si>
  <si>
    <t>Packout</t>
  </si>
  <si>
    <t>*45242617890*</t>
  </si>
  <si>
    <t>006082201</t>
  </si>
  <si>
    <t>48-22-8301</t>
  </si>
  <si>
    <t xml:space="preserve">เป้สะพายหลังใส่เครื่องมือ PACKOUT Backpack </t>
  </si>
  <si>
    <t>*45242531684*</t>
  </si>
  <si>
    <t>076800008</t>
  </si>
  <si>
    <t>48-22-8339</t>
  </si>
  <si>
    <t>PACKOUT M18 Battery Holder</t>
  </si>
  <si>
    <t>*45242618026*</t>
  </si>
  <si>
    <t>006138401</t>
  </si>
  <si>
    <t>48-22-8392R</t>
  </si>
  <si>
    <t>แก้วเก็บความเย็น PACKOUT™  ขนาด 20 ออนซ์</t>
  </si>
  <si>
    <t>*45242616329*</t>
  </si>
  <si>
    <t>129305374</t>
  </si>
  <si>
    <t>48-22-8410</t>
  </si>
  <si>
    <t>ฐาน PACKOUT แบบล้อเลื่อน</t>
  </si>
  <si>
    <t>*45242524082*</t>
  </si>
  <si>
    <t>129305469</t>
  </si>
  <si>
    <t>48-22-8422</t>
  </si>
  <si>
    <t>กล่องเครื่องมือคอมแพ็ค PACKOUT</t>
  </si>
  <si>
    <t>*45242543847*</t>
  </si>
  <si>
    <t>129305051</t>
  </si>
  <si>
    <t>48-22-8424</t>
  </si>
  <si>
    <t xml:space="preserve">กล่องเครื่องมือ PACKOUT ขนาดกลาง </t>
  </si>
  <si>
    <t>*45242505333*</t>
  </si>
  <si>
    <t>129305050</t>
  </si>
  <si>
    <t>48-22-8425</t>
  </si>
  <si>
    <t xml:space="preserve">กล่องเครื่องมือ PACKOUT ขนาดใหญ่ </t>
  </si>
  <si>
    <t>*45242505340*</t>
  </si>
  <si>
    <t>129305049</t>
  </si>
  <si>
    <t>48-22-8426</t>
  </si>
  <si>
    <t>กล่องเครื่องมือ PACKOUT ล้อลาก</t>
  </si>
  <si>
    <t>*45242505357*</t>
  </si>
  <si>
    <t>129305881</t>
  </si>
  <si>
    <t>48-22-8429</t>
  </si>
  <si>
    <t xml:space="preserve">กล่องเครื่องมือ PACKOUT™ ขนาด XL </t>
  </si>
  <si>
    <t>*45242600687*</t>
  </si>
  <si>
    <t>129305052</t>
  </si>
  <si>
    <t>48-22-8430</t>
  </si>
  <si>
    <t>กล่องเครื่องมือ PACKOUT ออแกนไนซ์เซอร์</t>
  </si>
  <si>
    <t>*45242505319*</t>
  </si>
  <si>
    <t>129305301</t>
  </si>
  <si>
    <t>48-22-8431</t>
  </si>
  <si>
    <t>กล่องอุปกรณ์ช่าง PACKOUT Low Profile Organizer</t>
  </si>
  <si>
    <t>*45242516728*</t>
  </si>
  <si>
    <t>129305883</t>
  </si>
  <si>
    <t>48-22-8432</t>
  </si>
  <si>
    <t>กล่องเครื่องมือ PACKOUT Deep Organizer</t>
  </si>
  <si>
    <t>*45242600694*</t>
  </si>
  <si>
    <t>129305053</t>
  </si>
  <si>
    <t>48-22-8435</t>
  </si>
  <si>
    <t xml:space="preserve">กล่องอุปกรณ์ช่าง PACKOUT Compact Organizer </t>
  </si>
  <si>
    <t>*45242505326*</t>
  </si>
  <si>
    <t>129305302</t>
  </si>
  <si>
    <t>48-22-8436</t>
  </si>
  <si>
    <t>กล่องอุปกรณ์ช่าง PACKOUT Low Profile Compact Organizer</t>
  </si>
  <si>
    <t>*45242524211*</t>
  </si>
  <si>
    <t>129305677</t>
  </si>
  <si>
    <t>48-22-8442</t>
  </si>
  <si>
    <t>PACKOUT 2 DRAWER TOOL BOX</t>
  </si>
  <si>
    <t>*45242559541*</t>
  </si>
  <si>
    <t>129305678</t>
  </si>
  <si>
    <t>48-22-8443</t>
  </si>
  <si>
    <t>กล่องเครื่องมือ PACKOUT 3 ลิ้นชัก</t>
  </si>
  <si>
    <t>*45242559558*</t>
  </si>
  <si>
    <t>129305988</t>
  </si>
  <si>
    <t>48-22-8445</t>
  </si>
  <si>
    <t>PACKOUT Cabinet</t>
  </si>
  <si>
    <t>*45242617593*</t>
  </si>
  <si>
    <t>129305306</t>
  </si>
  <si>
    <t>48-22-8450</t>
  </si>
  <si>
    <t xml:space="preserve">กล่องเครื่องมือ PACKOUT ขนาดกลางพร้อมโฟมตัด </t>
  </si>
  <si>
    <t>*45242524228*</t>
  </si>
  <si>
    <t>129305508</t>
  </si>
  <si>
    <t>48-22-8460</t>
  </si>
  <si>
    <t>คูลเลอร์ PACKOUT</t>
  </si>
  <si>
    <t>*45242543830*</t>
  </si>
  <si>
    <t>129305989</t>
  </si>
  <si>
    <t>48-22-8486</t>
  </si>
  <si>
    <t>PACKOUT Compact Mounting Plate</t>
  </si>
  <si>
    <t>*45242617579*</t>
  </si>
  <si>
    <t>129305990</t>
  </si>
  <si>
    <t>48-22-8487</t>
  </si>
  <si>
    <t>PACKOUT Large Mounting Plate</t>
  </si>
  <si>
    <t>*45242617586*</t>
  </si>
  <si>
    <t>129305676</t>
  </si>
  <si>
    <t>48-22-8488</t>
  </si>
  <si>
    <t>แผ่นท็อปทำงาน PACKOUT</t>
  </si>
  <si>
    <t>*45242571871*</t>
  </si>
  <si>
    <t>006059007</t>
  </si>
  <si>
    <t>48-22-8721</t>
  </si>
  <si>
    <t xml:space="preserve">ถุงมือ General Purpose Gloves - M </t>
  </si>
  <si>
    <t>*45242501229*</t>
  </si>
  <si>
    <t>006059112</t>
  </si>
  <si>
    <t>48-22-8722</t>
  </si>
  <si>
    <t xml:space="preserve">ถุงมือ General Purpose Gloves - L </t>
  </si>
  <si>
    <t>*45242479887*</t>
  </si>
  <si>
    <t>006054002</t>
  </si>
  <si>
    <t>48-22-8731</t>
  </si>
  <si>
    <t xml:space="preserve">ถุงมือกันบาด Heavy  Duty Gloves - M </t>
  </si>
  <si>
    <t>*45242469765*</t>
  </si>
  <si>
    <t>006054102</t>
  </si>
  <si>
    <t>48-22-8732</t>
  </si>
  <si>
    <t xml:space="preserve">ถุงมือกันบาด Heavy  Duty Gloves - L </t>
  </si>
  <si>
    <t>*45242366958*</t>
  </si>
  <si>
    <t>006064802</t>
  </si>
  <si>
    <t>48-22-8810A</t>
  </si>
  <si>
    <t xml:space="preserve">สายเซฟตี้ล็อกเครื่องมือ 4.5 kg.  </t>
  </si>
  <si>
    <t>*4892210179142*</t>
  </si>
  <si>
    <t>006076102</t>
  </si>
  <si>
    <t>48-22-8822A</t>
  </si>
  <si>
    <t xml:space="preserve">สายเซฟตี้ล็อกเครื่องมือ 2.2 kg. Quick Connect (แพ็ค 3 ชิ้น)   </t>
  </si>
  <si>
    <t>*4892210179265*</t>
  </si>
  <si>
    <t>006067501</t>
  </si>
  <si>
    <t>48-22-8901</t>
  </si>
  <si>
    <t xml:space="preserve">ถุงมือกันบาด Cut 1 Dipped Gloves - M </t>
  </si>
  <si>
    <t>*45242509171*</t>
  </si>
  <si>
    <t>006067601</t>
  </si>
  <si>
    <t>48-22-8902</t>
  </si>
  <si>
    <t xml:space="preserve">ถุงมือกันบาด Cut 1 Dipped Gloves - L </t>
  </si>
  <si>
    <t>*45242509188*</t>
  </si>
  <si>
    <t>006068501</t>
  </si>
  <si>
    <t>48-22-8951</t>
  </si>
  <si>
    <t xml:space="preserve">ถุงมือกันบาด Cut 5 Dipped Gloves - M </t>
  </si>
  <si>
    <t>*45242509270*</t>
  </si>
  <si>
    <t>006068601</t>
  </si>
  <si>
    <t>48-22-8952</t>
  </si>
  <si>
    <t xml:space="preserve">ถุงมือกันบาด Cut 5 Dipped Gloves - L </t>
  </si>
  <si>
    <t>*45242509287*</t>
  </si>
  <si>
    <t>006060602</t>
  </si>
  <si>
    <t>48-22-9515</t>
  </si>
  <si>
    <t>ชุดประแจแหวนข้าง ปากตาย 15 ชิ้น</t>
  </si>
  <si>
    <t>*45242499045*</t>
  </si>
  <si>
    <t>006059402</t>
  </si>
  <si>
    <t>48-22-9741</t>
  </si>
  <si>
    <t xml:space="preserve">ถุงมือตัดปลาย Fingerless Gloves - M </t>
  </si>
  <si>
    <t>*45242508730*</t>
  </si>
  <si>
    <t>006059502</t>
  </si>
  <si>
    <t>48-22-9742</t>
  </si>
  <si>
    <t>ถุงมือตัดปลาย Fingerless Gloves - L</t>
  </si>
  <si>
    <t>*45242508747*</t>
  </si>
  <si>
    <t>006913001</t>
  </si>
  <si>
    <t>48-35-1411</t>
  </si>
  <si>
    <t>ขาตั้งเลเซอร์ 180 เซนติเมตร</t>
  </si>
  <si>
    <t>*45242568420*</t>
  </si>
  <si>
    <t>006094122</t>
  </si>
  <si>
    <t>48-73-2000A</t>
  </si>
  <si>
    <t>แว่นตาเซฟตี้ เลนส์ใส</t>
  </si>
  <si>
    <t>*4892210192431*</t>
  </si>
  <si>
    <t>006094218</t>
  </si>
  <si>
    <t>48-73-2005A</t>
  </si>
  <si>
    <t>แว่นตาเซฟตี้ เลนส์ดำ</t>
  </si>
  <si>
    <t>*4892210192448*</t>
  </si>
  <si>
    <t>006094310</t>
  </si>
  <si>
    <t>48-73-2020A</t>
  </si>
  <si>
    <t>แว่นตาเซฟตี้นิรภัย เลนส์ใส</t>
  </si>
  <si>
    <t>*4892210192455*</t>
  </si>
  <si>
    <t>006094410</t>
  </si>
  <si>
    <t>48-73-2025A</t>
  </si>
  <si>
    <t>แว่นตาเซฟตี้นิรภัย เลนส์ดำ</t>
  </si>
  <si>
    <t>*4892210192462*</t>
  </si>
  <si>
    <t>006094510</t>
  </si>
  <si>
    <t>48-73-2040A</t>
  </si>
  <si>
    <t>แว่นตาเซฟตี้นิรภัย เลนส์ใส พร้อมกรอบรองกระชับ</t>
  </si>
  <si>
    <t>*4892210192479*</t>
  </si>
  <si>
    <t>006094610</t>
  </si>
  <si>
    <t>48-73-2045A</t>
  </si>
  <si>
    <t>แว่นตาเซฟตี้นิรภัย เลนส์โพลาไรซ์ พร้อมกรอบรองกระชับ</t>
  </si>
  <si>
    <t>*4892210192486*</t>
  </si>
  <si>
    <t>006100201</t>
  </si>
  <si>
    <t>48-73-6000</t>
  </si>
  <si>
    <t>สนับเข่ารุ่น Free-Flex</t>
  </si>
  <si>
    <t>*45242560899*</t>
  </si>
  <si>
    <t>006100501</t>
  </si>
  <si>
    <t>48-73-6030</t>
  </si>
  <si>
    <t>INTERCHANGEABLE HARD SHELL KNEE PAD/MILLWAKEE/US</t>
  </si>
  <si>
    <t>*45242560929*</t>
  </si>
  <si>
    <t>129305595</t>
  </si>
  <si>
    <t>48-73-8932</t>
  </si>
  <si>
    <t>ถุงมือกันบาดสะท้อนแสง Cut Level 3 Hi-Vis -  L</t>
  </si>
  <si>
    <t>*45242553617*</t>
  </si>
  <si>
    <t>129306820</t>
  </si>
  <si>
    <t>49-90-2019</t>
  </si>
  <si>
    <t>กระเป๋าเก็บอุปกรณ์ดูดฝุ่น</t>
  </si>
  <si>
    <t>*45242603305*</t>
  </si>
  <si>
    <t>129307091</t>
  </si>
  <si>
    <t>PREMIUM SAFETY-SET1LR TH</t>
  </si>
  <si>
    <t>Premium Safety Set</t>
  </si>
  <si>
    <t>*1318423879115*</t>
  </si>
  <si>
    <t>129307092</t>
  </si>
  <si>
    <t>STANDARD SAFETY-SET1LR TH</t>
  </si>
  <si>
    <t>Standard Safety Set</t>
  </si>
  <si>
    <t>*1318423879116*</t>
  </si>
  <si>
    <t>006169201</t>
  </si>
  <si>
    <t>48-22-1516</t>
  </si>
  <si>
    <t>Knife</t>
  </si>
  <si>
    <t>*45242746484*</t>
  </si>
  <si>
    <t>006066701</t>
  </si>
  <si>
    <t>48-22-8112</t>
  </si>
  <si>
    <t>Electrician's Pouch</t>
  </si>
  <si>
    <t>*45242509157*</t>
  </si>
  <si>
    <t>016120008</t>
  </si>
  <si>
    <t xml:space="preserve">ISHL-LED </t>
  </si>
  <si>
    <t>ไฟฉายคาดหมวก แอลอีดี แบบปลอดภัยจากการจุดระเบิด</t>
  </si>
  <si>
    <t>Power Tools</t>
  </si>
  <si>
    <t>*4892210197894*</t>
  </si>
  <si>
    <t>016157004</t>
  </si>
  <si>
    <t>L4 FL2000-301 ASIA</t>
  </si>
  <si>
    <t>L4 ไฟฉายปรับแสงแบบชาร์จไฟ 2000 ลูเมน</t>
  </si>
  <si>
    <t>*4892210225467*</t>
  </si>
  <si>
    <t>018257015</t>
  </si>
  <si>
    <t>L4 FL-301 ASIA</t>
  </si>
  <si>
    <t>ไฟฉายพ็อคเก็ต แอลอีดี</t>
  </si>
  <si>
    <t>*4892210211231*</t>
  </si>
  <si>
    <t>016704018</t>
  </si>
  <si>
    <t>L4 HLVIS-301 ASIA</t>
  </si>
  <si>
    <t>ไฟฉายคาดหมวก สายสะท้อนแสง</t>
  </si>
  <si>
    <t>*4892210187963*</t>
  </si>
  <si>
    <t>018561008</t>
  </si>
  <si>
    <t>M12 BSWP-0 APJ</t>
  </si>
  <si>
    <t>M12 เครื่องสูบน้ำไร้สาย</t>
  </si>
  <si>
    <t>*4892210234308*</t>
  </si>
  <si>
    <t>018702003</t>
  </si>
  <si>
    <t xml:space="preserve">M12 FHIR14LR-0 </t>
  </si>
  <si>
    <t>ประแจบล็อกด้ามฟรีไร้สายคอยาว 12 โวลต์ 1/4" (เครื่องเปล่า)</t>
  </si>
  <si>
    <t>*4892210225283*</t>
  </si>
  <si>
    <t>018710007</t>
  </si>
  <si>
    <t xml:space="preserve">M12 FHIR38LR-0 </t>
  </si>
  <si>
    <t>ประแจบล็อกด้ามฟรีไร้สายคอยาว 12 โวลต์ 3/8" (เครื่องเปล่า)</t>
  </si>
  <si>
    <t>*4892210225276*</t>
  </si>
  <si>
    <t>018401008</t>
  </si>
  <si>
    <t>M12 FMT-0X</t>
  </si>
  <si>
    <t>เครื่องมัลติทูลไร้สาย 12 โวลต์ (เครื่องเปล่า)</t>
  </si>
  <si>
    <t>*4892210194763*</t>
  </si>
  <si>
    <t>055629001</t>
  </si>
  <si>
    <t>M12 PP2E-401B SA</t>
  </si>
  <si>
    <t>M12 Automotive Lighting Combo</t>
  </si>
  <si>
    <t>*4892210240910*</t>
  </si>
  <si>
    <t>018301008</t>
  </si>
  <si>
    <t>M12 ONEFTR38-0C</t>
  </si>
  <si>
    <t>ประแจปอนด์ดิจิทัลไร้สาย 12 โวลต์ 3/8" (เครื่องเปล่า)</t>
  </si>
  <si>
    <t>*4892210188502*</t>
  </si>
  <si>
    <t>018081036</t>
  </si>
  <si>
    <t>M12 PCG/310C-0</t>
  </si>
  <si>
    <t>ปืนยิงซิลิโคนไร้สาย 12 โวลต์ พร้อมกระบอก (เครื่องเปล่า)</t>
  </si>
  <si>
    <t>*4892210139931*</t>
  </si>
  <si>
    <t>059600269</t>
  </si>
  <si>
    <t>M12 FPP2CB-401BLR SA</t>
  </si>
  <si>
    <t>M12 Vacuum Combo</t>
  </si>
  <si>
    <t>*1318423879119*</t>
  </si>
  <si>
    <t>000999671</t>
  </si>
  <si>
    <t>M1218C</t>
  </si>
  <si>
    <t>แท่นชาร์จแบตเตอรี่ 12-18 โวลต์</t>
  </si>
  <si>
    <t>*4892210132215*</t>
  </si>
  <si>
    <t>002092010</t>
  </si>
  <si>
    <t>M12-18C3</t>
  </si>
  <si>
    <t>แท่นชาร์จแบตเตอรี่ 12-18 โวลต์ แบบชาร์จเร็ว 6 ช่อง</t>
  </si>
  <si>
    <t>*6951662505782*</t>
  </si>
  <si>
    <t>055234001</t>
  </si>
  <si>
    <t>M18 PP2J-501 SA</t>
  </si>
  <si>
    <t>M18 Fire &amp; Rescue</t>
  </si>
  <si>
    <t>*4892210240903*</t>
  </si>
  <si>
    <t>059600345</t>
  </si>
  <si>
    <t>M18 BPP2U-801BLR SA</t>
  </si>
  <si>
    <t>M18 Vacuum Combo</t>
  </si>
  <si>
    <t>*1318423879118*</t>
  </si>
  <si>
    <t>016135006</t>
  </si>
  <si>
    <t>M18 HOAL-0 ASIA</t>
  </si>
  <si>
    <t>ทาวเวอร์ไลท์ไฮเอาท์พุท 18 โวลต์ (เครื่องเปล่า)</t>
  </si>
  <si>
    <t>*4892210198167*</t>
  </si>
  <si>
    <t>059600326</t>
  </si>
  <si>
    <t>MX-M18 PP3A-453LR SA</t>
  </si>
  <si>
    <t>MX FUEL Lifestyle</t>
  </si>
  <si>
    <t>*1318423879117*</t>
  </si>
  <si>
    <t>001998090DG9</t>
  </si>
  <si>
    <t>MXF CP203</t>
  </si>
  <si>
    <t>แบตเตอรี่ MXF CP203</t>
  </si>
  <si>
    <t>*4892210190345*</t>
  </si>
  <si>
    <t>018758010</t>
  </si>
  <si>
    <t>M18 F2BPB-0 ASIA</t>
  </si>
  <si>
    <t xml:space="preserve">เครื่องเป่าใบไม้ไร้สายแบบสะพายหลัง 18 โวลต์ </t>
  </si>
  <si>
    <t>018813002</t>
  </si>
  <si>
    <t>MXF TLIC-0 APJ</t>
  </si>
  <si>
    <t>MXF Compact Tower Light</t>
  </si>
  <si>
    <t>129306821</t>
  </si>
  <si>
    <t>49-90-2020</t>
  </si>
  <si>
    <t>หัวดูดฝุ่นพรม</t>
  </si>
  <si>
    <t>PRD Storage</t>
  </si>
  <si>
    <t>*45242603312*</t>
  </si>
  <si>
    <t>129306823</t>
  </si>
  <si>
    <t>49-90-2022</t>
  </si>
  <si>
    <t>หัวดูดเก็บฝุ่น</t>
  </si>
  <si>
    <t>*45242610273*</t>
  </si>
  <si>
    <t>129306824</t>
  </si>
  <si>
    <t>49-90-2023</t>
  </si>
  <si>
    <t>หัวดูดฝุ่นร่อง 3 in 1</t>
  </si>
  <si>
    <t>*45242610280*</t>
  </si>
  <si>
    <t>129306833</t>
  </si>
  <si>
    <t>49-90-2034</t>
  </si>
  <si>
    <t>หัวดูดฝุ่นรักษาพื้นผิว</t>
  </si>
  <si>
    <t>129306835</t>
  </si>
  <si>
    <t>49-90-2037</t>
  </si>
  <si>
    <t>หัวดูดฝุ่นที่แคบ</t>
  </si>
  <si>
    <t>*45242610426*</t>
  </si>
  <si>
    <t>018685005</t>
  </si>
  <si>
    <t>M18 HCC125R-0C ASIA</t>
  </si>
  <si>
    <t>M18 เครื่องตัดสายไฟใต้ดิน 125มม.ไร้สาย</t>
  </si>
  <si>
    <t>Hub Simple List</t>
  </si>
  <si>
    <t>019600964</t>
  </si>
  <si>
    <t>MXF PC50</t>
  </si>
  <si>
    <t>MXF เครื่องตบดิน รุ่นแผ่นเรียบ </t>
  </si>
  <si>
    <t>018505015</t>
  </si>
  <si>
    <t>FPFT18ACCY01</t>
  </si>
  <si>
    <t>ลวดร้อยสายไฟ (30 เมตร ไม่นำไฟฟ้า)</t>
  </si>
  <si>
    <t>HPC TH List</t>
  </si>
  <si>
    <t>*4892210199027*</t>
  </si>
  <si>
    <t>018718008</t>
  </si>
  <si>
    <t>M12 FJS-0 ASIA</t>
  </si>
  <si>
    <t>M12 FUEL จิ๊กซอว์ไร้สาย</t>
  </si>
  <si>
    <t>*4892210236258*</t>
  </si>
  <si>
    <t>016052011</t>
  </si>
  <si>
    <t>M18 BTP-0</t>
  </si>
  <si>
    <t>ปั๊มน้ำอเนกประสงค์ไร้สาย 18 โวลต์ (เครื่องเปล่า)</t>
  </si>
  <si>
    <t>*4892210215000*</t>
  </si>
  <si>
    <t>001998938</t>
  </si>
  <si>
    <t>M18 DBSC SA</t>
  </si>
  <si>
    <t>M18 แท่นชาร์จแบตเตอรี่ แบบซูเปอร์ชาร์จ 2 ช่อง</t>
  </si>
  <si>
    <t>*4892210238139*</t>
  </si>
  <si>
    <t>001998977DG9</t>
  </si>
  <si>
    <t>M18 FB6 ASIA</t>
  </si>
  <si>
    <t>M18 FORGE แบตเตอรี่ 6.0 แอมป์อาว</t>
  </si>
  <si>
    <t>*4892210236128*</t>
  </si>
  <si>
    <t>018287008</t>
  </si>
  <si>
    <t>M18 FJS-0X</t>
  </si>
  <si>
    <t>จิ๊กซอว์ไร้สาย 18 โวลต์  (เครื่องเปล่า)</t>
  </si>
  <si>
    <t>*4892210180537*</t>
  </si>
  <si>
    <t>018230032</t>
  </si>
  <si>
    <t>M18 ONEFHIWF34-0X</t>
  </si>
  <si>
    <t>บล็อกกระแทกไร้สาย 18 โวลต์ 3/4" (เครื่องเปล่า)</t>
  </si>
  <si>
    <t>*4892210173058*</t>
  </si>
  <si>
    <t>086252001</t>
  </si>
  <si>
    <t>48-22-8690</t>
  </si>
  <si>
    <t>แท่นปากกาจับท่อ 6 นิ้ว แบบโซ่ล็อคพร้อมขาตั้ง</t>
  </si>
  <si>
    <t>HPC List</t>
  </si>
  <si>
    <t>000138153</t>
  </si>
  <si>
    <t>C12 C</t>
  </si>
  <si>
    <t>แท่นชาร์จแบตเตอรี่ 12 โวลต์</t>
  </si>
  <si>
    <t>*4892210132253*</t>
  </si>
  <si>
    <t>016710004</t>
  </si>
  <si>
    <t>IR FL500</t>
  </si>
  <si>
    <t>ไฟฉาย แบบชาร์จไฟได้ 500 ลูเมน</t>
  </si>
  <si>
    <t>*4892210203458*</t>
  </si>
  <si>
    <t>016110174</t>
  </si>
  <si>
    <t>IR HL450 ASIA</t>
  </si>
  <si>
    <t>ไฟฉายคาดหัว 450 ลูเมน</t>
  </si>
  <si>
    <t>016141004</t>
  </si>
  <si>
    <t>IR PL250</t>
  </si>
  <si>
    <t>ไฟฉายปากกา แบบชาร์จไฟได้ 250 ลูเมน</t>
  </si>
  <si>
    <t>*4892210203441*</t>
  </si>
  <si>
    <t>018331015</t>
  </si>
  <si>
    <t>L4 FFL-301 ASIA</t>
  </si>
  <si>
    <t>ไฟส่องทำงาน แบบบานพับ</t>
  </si>
  <si>
    <t>*4892210211262*</t>
  </si>
  <si>
    <t>016163004</t>
  </si>
  <si>
    <t>L4 HL2-301 ASIA</t>
  </si>
  <si>
    <t>ไฟฉายคาดหัว แอลอีดี</t>
  </si>
  <si>
    <t>*4892210223265*</t>
  </si>
  <si>
    <t>016137016</t>
  </si>
  <si>
    <t>L4 TMLED-301 ASIA</t>
  </si>
  <si>
    <t>ไฟฉายโลหะหมุนปรับแสง แอลอีดี</t>
  </si>
  <si>
    <t>*4892210211019*</t>
  </si>
  <si>
    <t>016144005</t>
  </si>
  <si>
    <t>M12 AF-0 ASIA</t>
  </si>
  <si>
    <t>พัดลมไร้สาย 12 โวลต์  (เครื่องเปล่า)</t>
  </si>
  <si>
    <t>*4892210201416*</t>
  </si>
  <si>
    <t>001998232</t>
  </si>
  <si>
    <t>M12 B2 ASIA</t>
  </si>
  <si>
    <t>แบตเตอรี่ 12 โวลต์ 2.0 แอมป์อาว</t>
  </si>
  <si>
    <t>*4892210130266*</t>
  </si>
  <si>
    <t>001998233</t>
  </si>
  <si>
    <t>M12 B4 ASIA</t>
  </si>
  <si>
    <t>แบตเตอรี่ 12 โวลต์ 4.0 แอมป์อาว</t>
  </si>
  <si>
    <t>*4892210130273*</t>
  </si>
  <si>
    <t>016142004</t>
  </si>
  <si>
    <t>M12 BBL-0 APJ</t>
  </si>
  <si>
    <t>เครื่องเป่าลมไร้สาย 12 โวลต์  (เครื่องเปล่า)</t>
  </si>
  <si>
    <t>*4892210201423*</t>
  </si>
  <si>
    <t>016723009</t>
  </si>
  <si>
    <t>M12 BHCS7L-0 APJ</t>
  </si>
  <si>
    <t>M12 เครื่องพ่นยาไร้สาย</t>
  </si>
  <si>
    <t>*4892210223715*</t>
  </si>
  <si>
    <t>016088017</t>
  </si>
  <si>
    <t>M12 BI-0 ASIA</t>
  </si>
  <si>
    <t>เครื่องเติมลมไร้สาย 12 โวลต์ (เครื่องเปล่า)</t>
  </si>
  <si>
    <t>*4892210220929*</t>
  </si>
  <si>
    <t>019601194</t>
  </si>
  <si>
    <t>M12 BLPRS TH</t>
  </si>
  <si>
    <t>M12 กรรไกรตัดกิ่งไร้สาย</t>
  </si>
  <si>
    <t>*019601194*</t>
  </si>
  <si>
    <t>018252007</t>
  </si>
  <si>
    <t>M12 BPRT-0C</t>
  </si>
  <si>
    <t>เครื่องยิงรีเวทไร้สาย 12 โวลต์ (เครื่องเปล่า)</t>
  </si>
  <si>
    <t>*4892210174987*</t>
  </si>
  <si>
    <t>018109013</t>
  </si>
  <si>
    <t>M12 BPS-0</t>
  </si>
  <si>
    <t>เครื่องขัดไร้สาย 12 โวลต์ (เครื่องเปล่า)</t>
  </si>
  <si>
    <t>*4892210135186*</t>
  </si>
  <si>
    <t>018098036</t>
  </si>
  <si>
    <t>M12 CH-0C</t>
  </si>
  <si>
    <t>สว่านโรตารี่ไร้สาย 12 โวลต์ ระบบ SDS+ (เครื่องเปล่า)</t>
  </si>
  <si>
    <t>*4892210159175*</t>
  </si>
  <si>
    <t>018099014</t>
  </si>
  <si>
    <t>M12 CHZ-0</t>
  </si>
  <si>
    <t>เลื่อยอเนกประสงค์ไร้สาย 12 โวลต์ (เครื่องเปล่า)</t>
  </si>
  <si>
    <t>*4892210135179*</t>
  </si>
  <si>
    <t>006912604</t>
  </si>
  <si>
    <t>M12 CLLP-0C ASIA</t>
  </si>
  <si>
    <t>เลเซอร์วัดระดับและวางแนวดิ่ง (เครื่องเปล่า)</t>
  </si>
  <si>
    <t>*4892210198334*</t>
  </si>
  <si>
    <t>016149004</t>
  </si>
  <si>
    <t>M12 CML-0</t>
  </si>
  <si>
    <t>ไฟส่องเทียบสีไร้สาย 12 โวลต์ (เครื่องเปล่า)</t>
  </si>
  <si>
    <t>*4892210214065*</t>
  </si>
  <si>
    <t>018669012</t>
  </si>
  <si>
    <t>M12 FBFL10-0 ASIA</t>
  </si>
  <si>
    <t>M12 เครื่องขัดกระดาษทรายสายพาน</t>
  </si>
  <si>
    <t>*4892210227836*</t>
  </si>
  <si>
    <t>018723006</t>
  </si>
  <si>
    <t>M12 FCN18GS-0X0 ASIA</t>
  </si>
  <si>
    <t>M12 เครื่องยิงตะปูไร้สาย 18Ga</t>
  </si>
  <si>
    <t>018264007</t>
  </si>
  <si>
    <t>M12 FCOT-0X</t>
  </si>
  <si>
    <t xml:space="preserve">เครื่องตัดไร้สาย 12 โวลต์ 3 นิ้ว (เครื่องเปล่า) </t>
  </si>
  <si>
    <t>*4892210182531*</t>
  </si>
  <si>
    <t>018365009</t>
  </si>
  <si>
    <t>M12 FDDXKIT-0X ASIA</t>
  </si>
  <si>
    <t>สว่านไขควงไร้สาย 12 โวลต์ พร้อมชุดหัวงานติดตั้ง (เครื่องเปล่า)</t>
  </si>
  <si>
    <t>*4892210185983*</t>
  </si>
  <si>
    <t>018394009</t>
  </si>
  <si>
    <t>M12 FDGA-0</t>
  </si>
  <si>
    <t>เครื่องเจียรแกนหัวงอไร้สาย 12 โวลต์ (เครื่องเปล่า)</t>
  </si>
  <si>
    <t>*4892210187239*</t>
  </si>
  <si>
    <t>018393007</t>
  </si>
  <si>
    <t>M12 FDGS-0</t>
  </si>
  <si>
    <t>เครื่องเจียรแกนคอตรงไร้สาย 12 โวลต์ (เครื่องเปล่า)</t>
  </si>
  <si>
    <t>*4892210189578*</t>
  </si>
  <si>
    <t>018526006</t>
  </si>
  <si>
    <t>M12 FHIR14-0</t>
  </si>
  <si>
    <t>ประแจบล็อกด้ามฟรีไร้สาย 12 โวลต์ 1/4" (เครื่องเปล่า)</t>
  </si>
  <si>
    <t>*4892210199430*</t>
  </si>
  <si>
    <t>018527007</t>
  </si>
  <si>
    <t xml:space="preserve">M12 FHIR38-0 </t>
  </si>
  <si>
    <t>ประแจบล็อกด้ามฟรีไร้สาย 12 โวลต์ 3/8" (เครื่องเปล่า)</t>
  </si>
  <si>
    <t>*4892210199447*</t>
  </si>
  <si>
    <t>018488007</t>
  </si>
  <si>
    <t>M12 FHS-0X</t>
  </si>
  <si>
    <t>เลื่อยตัดกิ่งไร้สาย 12 โวลต์ (เครื่องเปล่า)</t>
  </si>
  <si>
    <t>*4892210195234*</t>
  </si>
  <si>
    <t>018240006</t>
  </si>
  <si>
    <t>M12 FHT20-0 ASIA</t>
  </si>
  <si>
    <t>เครื่องตัดแต่งพุ่มไม้ไร้สาย 12 โวลต์ (เครื่องเปล่า)</t>
  </si>
  <si>
    <t>*4892210215499*</t>
  </si>
  <si>
    <t>018620017</t>
  </si>
  <si>
    <t>M12 FID2-0</t>
  </si>
  <si>
    <t>ไขควงกระแทกไร้สาย 18 โวลต์ (เครื่องเปล่า)</t>
  </si>
  <si>
    <t>*4892210219831*</t>
  </si>
  <si>
    <t>018270007</t>
  </si>
  <si>
    <t>M12 FIR12-0</t>
  </si>
  <si>
    <t>ประแจบล็อกด้ามฟรีไร้สาย 12 โวลต์ 1/2" (เครื่องเปล่า)</t>
  </si>
  <si>
    <t>*4892210163462*</t>
  </si>
  <si>
    <t>018269009</t>
  </si>
  <si>
    <t>M12 FIR38-0</t>
  </si>
  <si>
    <t>*4892210163479*</t>
  </si>
  <si>
    <t>018312019</t>
  </si>
  <si>
    <t>M12 FIWF12-0C</t>
  </si>
  <si>
    <t>บล็อกกระแทกไร้สาย 12 โวลต์ 1/2" (เครื่องเปล่า)</t>
  </si>
  <si>
    <t>*4892210174840*</t>
  </si>
  <si>
    <t>018573016</t>
  </si>
  <si>
    <t>M12 FNB16-0X ASIA</t>
  </si>
  <si>
    <t>เครื่องตัดเมทัลชีท 1.6 มม. ไร้สาย</t>
  </si>
  <si>
    <t>*4892210215413*</t>
  </si>
  <si>
    <t>018622023</t>
  </si>
  <si>
    <t>M12 FPD2-0</t>
  </si>
  <si>
    <t>ไขควงกระแทกไร้สาย 12 โวลต์ (เครื่องเปล่า)</t>
  </si>
  <si>
    <t>*4892210219978*</t>
  </si>
  <si>
    <t>018686009</t>
  </si>
  <si>
    <t>M12 FPTR-0 ASIA</t>
  </si>
  <si>
    <t>M12 FUEL™ INSIDER™ ประแจบล็อกด้ามฟรีไร้สายแบบเปลี่ยนหัว </t>
  </si>
  <si>
    <t>018370003</t>
  </si>
  <si>
    <t>M12 FQID-0 ASIA</t>
  </si>
  <si>
    <t>ไขควงกระแทกไร้สาย 12 โวลต์ ระบบไฮดรอลิก (เครื่องเปล่า)</t>
  </si>
  <si>
    <t>*4892210182494*</t>
  </si>
  <si>
    <t>018423012</t>
  </si>
  <si>
    <t>M12 FRAIWF12-0 ASIA</t>
  </si>
  <si>
    <t>บล็อกกระแทกมุมฉากไร้สาย 12 โวลต์ 1/2" (เครื่องเปล่า)</t>
  </si>
  <si>
    <t>*4892210190024*</t>
  </si>
  <si>
    <t>016134009</t>
  </si>
  <si>
    <t>M12 FVCL-0 ASIA</t>
  </si>
  <si>
    <t>เครื่องดูดฝุ่น แบบเปียก/แห้ง ไร้สาย 12 โวลต์  (เครื่องเปล่า)</t>
  </si>
  <si>
    <t>*4892210195708*</t>
  </si>
  <si>
    <t>018482021</t>
  </si>
  <si>
    <t>M12 GG-0 ASIA</t>
  </si>
  <si>
    <t>เครื่องอัดจารบีไร้สาย 12 โวลต์ (เครื่องเปล่า)</t>
  </si>
  <si>
    <t>*4892210194770*</t>
  </si>
  <si>
    <t>001997033</t>
  </si>
  <si>
    <t>M12 HB5</t>
  </si>
  <si>
    <t>แบตเตอรี่ 12 โวลต์ 5.0 แอมป์อาว HIGH OUTPUT</t>
  </si>
  <si>
    <t>*4892210220677*</t>
  </si>
  <si>
    <t>016047007</t>
  </si>
  <si>
    <t>M12 LL-0 APJ</t>
  </si>
  <si>
    <t>ไฟตะเกียง 12 โวลต์ พร้อมที่ชาร์จ USB (เครื่องเปล่า)</t>
  </si>
  <si>
    <t>*4892210193032*</t>
  </si>
  <si>
    <t>018302008</t>
  </si>
  <si>
    <t>M12 ONEFTR12-0C</t>
  </si>
  <si>
    <t>ประแจปอนด์ดิจิทัลไร้สาย 12 โวลต์ 1/2" (เครื่องเปล่า)</t>
  </si>
  <si>
    <t>*4892210188496*</t>
  </si>
  <si>
    <t>016146009</t>
  </si>
  <si>
    <t>M12 PAL-0 ASIA</t>
  </si>
  <si>
    <t>ไฟส่องพื้นที่พร้อมช่องชาร์จ USB (เครื่องเปล่า)</t>
  </si>
  <si>
    <t>*4892210197061*</t>
  </si>
  <si>
    <t>016176008</t>
  </si>
  <si>
    <t xml:space="preserve">M12 POAL-0 </t>
  </si>
  <si>
    <t>ไฟสนาม PACKOUT™ 12 โวลต์</t>
  </si>
  <si>
    <t>*4892210230157*</t>
  </si>
  <si>
    <t>018324007</t>
  </si>
  <si>
    <t>M12 SAL-0 APJ</t>
  </si>
  <si>
    <t>ทาวเวอร์ไลท์ 12 โวลต์ (เครื่องเปล่า)</t>
  </si>
  <si>
    <t>*4892210193315*</t>
  </si>
  <si>
    <t>016038013</t>
  </si>
  <si>
    <t>M12 SL-0</t>
  </si>
  <si>
    <t>ไฟตะเกียบ 12 โวลต์ พร้อมตะขอแขวน (เครื่องเปล่า)</t>
  </si>
  <si>
    <t>*4892210193049*</t>
  </si>
  <si>
    <t>016053004</t>
  </si>
  <si>
    <t>M12 SLED-0</t>
  </si>
  <si>
    <t>สปอทไลท์แอลอีดี 12 โวลต์ (เครื่องเปล่า)</t>
  </si>
  <si>
    <t>*4892210145826*</t>
  </si>
  <si>
    <t>016147004</t>
  </si>
  <si>
    <t>M12 UCL-0 APJ</t>
  </si>
  <si>
    <t>ไฟส่องใต้ท้องรถ 12 โวลต์ (เครื่องเปล่า)</t>
  </si>
  <si>
    <t>*4892210206329*</t>
  </si>
  <si>
    <t>016068006</t>
  </si>
  <si>
    <t>M12 UHL-0</t>
  </si>
  <si>
    <t>ไฟหนีบฝากระโปรง/ส่องพื้นที่ 12 โวลต์ (เครื่องเปล่า)</t>
  </si>
  <si>
    <t>*4892210193018*</t>
  </si>
  <si>
    <t>001998212</t>
  </si>
  <si>
    <t>M12-18 SC</t>
  </si>
  <si>
    <t>แท่นชาร์จแบตเตอรี่ 12-18 โวลต์ แบบซูเปอร์ชาร์จ</t>
  </si>
  <si>
    <t>*4892210191281*</t>
  </si>
  <si>
    <t>001997014</t>
  </si>
  <si>
    <t>M12-18FC</t>
  </si>
  <si>
    <t>แท่นชาร์จแบตเตอรี่ 12-18 โวลต์ แบบชาร์จเร็ว</t>
  </si>
  <si>
    <t>*4892210139313*</t>
  </si>
  <si>
    <t>016043019</t>
  </si>
  <si>
    <t>M18 AF-0</t>
  </si>
  <si>
    <t>พัดลมไร้สาย 18 โวลต์ (เครื่องเปล่า)</t>
  </si>
  <si>
    <t>*4892210215338*</t>
  </si>
  <si>
    <t>016038208</t>
  </si>
  <si>
    <t>M18 AL-0</t>
  </si>
  <si>
    <t>โคมไฟสนาม 18 โวลต์ (เครื่องเปล่า)</t>
  </si>
  <si>
    <t>*4892210193025*</t>
  </si>
  <si>
    <t>001998238</t>
  </si>
  <si>
    <t>M18 B5 ASIA</t>
  </si>
  <si>
    <t>แบตเตอรี่ 18 โวลต์ 5.0 แอมป์อาว</t>
  </si>
  <si>
    <t>*4892210141347*</t>
  </si>
  <si>
    <t>016042201</t>
  </si>
  <si>
    <t>M18 BBL-0 ASIA</t>
  </si>
  <si>
    <t>เครื่องเป่าลมไร้สาย 18 โวลต์  (เครื่องเปล่า)</t>
  </si>
  <si>
    <t>*4892210139986*</t>
  </si>
  <si>
    <t>016069018</t>
  </si>
  <si>
    <t>M18 BHG-0 APJ</t>
  </si>
  <si>
    <t xml:space="preserve">ปืนเป่าลมร้อนไร้สาย 18 โวลต์ (เครื่องเปล่า) </t>
  </si>
  <si>
    <t>*4892210203489*</t>
  </si>
  <si>
    <t>016100008</t>
  </si>
  <si>
    <t>M18 BI-0 ASIA</t>
  </si>
  <si>
    <t>เครื่องเติมลมไร้สาย 18 โวลต์</t>
  </si>
  <si>
    <t>*4892210213815*</t>
  </si>
  <si>
    <t>018275007</t>
  </si>
  <si>
    <t>M18 BOS125-0X0</t>
  </si>
  <si>
    <t>เครื่องขัดกระดาษทรายแบบลูกเบี้ยวไร้สาย 18 โวลต์  (เครื่องเปล่า)</t>
  </si>
  <si>
    <t>*4892210179531*</t>
  </si>
  <si>
    <t>016106009</t>
  </si>
  <si>
    <t>M18 BPFP-WST</t>
  </si>
  <si>
    <t>M18 เครื่องพ่นยาไร้สาย สะพายหลัง</t>
  </si>
  <si>
    <t>*4892210189677*</t>
  </si>
  <si>
    <t>018618009</t>
  </si>
  <si>
    <t>M18 BQSS-0</t>
  </si>
  <si>
    <t>เครื่องขัดกระดาษทรายแบบสี่เหลี่ยมไร้สาย 18 โวลต์ (เครื่องเปล่า)</t>
  </si>
  <si>
    <t>*4892210217424*</t>
  </si>
  <si>
    <t>018699009</t>
  </si>
  <si>
    <t>M18 CBS125-0</t>
  </si>
  <si>
    <t>เลี่อยสายพานไร้สาย 18 โวลต์  (เครื่องเปล่า)</t>
  </si>
  <si>
    <t>*4892210135155*</t>
  </si>
  <si>
    <t>018112019</t>
  </si>
  <si>
    <t>M18 CCS66-0</t>
  </si>
  <si>
    <t>เลื่อยวงเดือน 7 1/4" ไร้สาย 18 โวลต์ (เครื่องเปล่า)</t>
  </si>
  <si>
    <t>*4892210140548*</t>
  </si>
  <si>
    <t>086251004</t>
  </si>
  <si>
    <t>M18 CHS355-0</t>
  </si>
  <si>
    <t>แท่นตัดไฟเบอร์ไร้สาย 18 โวลต์  (เครื่องเปล่า)</t>
  </si>
  <si>
    <t>*4892210206978*</t>
  </si>
  <si>
    <t>018208014</t>
  </si>
  <si>
    <t xml:space="preserve">M18 CHT-0 </t>
  </si>
  <si>
    <t>เครื่องตัดแต่งพุ่มไม้ไร้สาย 18 โวลต์ (เครื่องเปล่า)</t>
  </si>
  <si>
    <t>*4892210201478*</t>
  </si>
  <si>
    <t>001998209</t>
  </si>
  <si>
    <t>M18 DFC SA</t>
  </si>
  <si>
    <t>แท่นชาร์จแบตเตอรี่ 18 โวลต์ แบบชาร์จเร็ว 2 ช่อง</t>
  </si>
  <si>
    <t>*4892210191311*</t>
  </si>
  <si>
    <t>018655011</t>
  </si>
  <si>
    <t>M18 F2BL-0</t>
  </si>
  <si>
    <t>เครื่องเป่าใบไม้ไร้สาย 18 โวลต์ ระบบแบตเตอรี่คู่  (เครื่องเปล่า)</t>
  </si>
  <si>
    <t>*4892210222503*</t>
  </si>
  <si>
    <t>018568013</t>
  </si>
  <si>
    <t>M18 F2LM53-0 ASIA</t>
  </si>
  <si>
    <t>รถเข็นตัดหญ้าไร้สาย 21 นิ้ว ระบบแบตเตอรี่คู่ 18 โวลต์ (เครื่องเปล่า)</t>
  </si>
  <si>
    <t>*4892210215437*</t>
  </si>
  <si>
    <t>018171020</t>
  </si>
  <si>
    <t>M18 FAP180-0X0</t>
  </si>
  <si>
    <t>เครื่องขัดเงาไร้สาย 7 นิ้ว 18 โวลต์ (เครื่องเปล่า)</t>
  </si>
  <si>
    <t>*4892210203724*</t>
  </si>
  <si>
    <t>018756007</t>
  </si>
  <si>
    <t>M18 FBCU-0 ASIA</t>
  </si>
  <si>
    <t>M18 เครื่องตัดหญ้าไร้สาย</t>
  </si>
  <si>
    <t>*4892210230522*</t>
  </si>
  <si>
    <t>018223027</t>
  </si>
  <si>
    <t>M18 FBL-0 ASIA</t>
  </si>
  <si>
    <t>*4892210185280*</t>
  </si>
  <si>
    <t>018572006</t>
  </si>
  <si>
    <t>M18 FBTS75-0X0 ASIA</t>
  </si>
  <si>
    <t>เครื่องขัดกระดาษทรายสายพานไร้สาย 18 โวลต์ (เครื่องเปล่า)</t>
  </si>
  <si>
    <t>*4892210215550*</t>
  </si>
  <si>
    <t>018237022</t>
  </si>
  <si>
    <t>M18 FCHSC-0G0 ASIA</t>
  </si>
  <si>
    <t>เลื่อยโซ่ 11" ไร้สาย 18 โวลต์ (เครื่องเปล่า)</t>
  </si>
  <si>
    <t>*4892210188953*</t>
  </si>
  <si>
    <t>018386012</t>
  </si>
  <si>
    <t>M18 FCOS230-0G0</t>
  </si>
  <si>
    <t xml:space="preserve">เครื่องตัดไร้สาย 9"  18 โวลต์ (เครื่องเปล่า) </t>
  </si>
  <si>
    <t>*4892210188151*</t>
  </si>
  <si>
    <t>016121008</t>
  </si>
  <si>
    <t>M18 FCVL-0 ASIA</t>
  </si>
  <si>
    <t>เครื่องดูดฝุ่นด้ามจับไร้สาย 18 โวลต์  (เครื่องเปล่า)</t>
  </si>
  <si>
    <t>*4892210195692*</t>
  </si>
  <si>
    <t>018628011</t>
  </si>
  <si>
    <t>M18 FCVN12-0</t>
  </si>
  <si>
    <t>เครื่องจี้ปูนทรงปากกา 1.2 เมตร ไร้สาย 18 โวลต์ (เครื่องเปล่า)</t>
  </si>
  <si>
    <t>*4892210215444*</t>
  </si>
  <si>
    <t>018691005</t>
  </si>
  <si>
    <t xml:space="preserve">M18 FDGROVB-0X0 </t>
  </si>
  <si>
    <t>เครื่องเจียรคอตรงยาวไร้สาย 18 โวลต์ ปรับความเร็วรอบได้ (เครื่องเปล่า)</t>
  </si>
  <si>
    <t>*4892210229137*</t>
  </si>
  <si>
    <t>018218027</t>
  </si>
  <si>
    <t>M18 FHIWF12-0X</t>
  </si>
  <si>
    <t>บล็อกกระแทกไร้สาย 18 โวลต์ 1/2" (เครื่องเปล่า)</t>
  </si>
  <si>
    <t>*4892210163776*</t>
  </si>
  <si>
    <t>018569001</t>
  </si>
  <si>
    <t>M18 FHIWF1R-0C0 ASIA</t>
  </si>
  <si>
    <t>M18 FUEL™ บล็อกกระแทกไร้สายสำหรับรางรถไฟ 1"</t>
  </si>
  <si>
    <t>018413006</t>
  </si>
  <si>
    <t>M18 FHPX-0X0 ASIA</t>
  </si>
  <si>
    <t>สว่านโรตารี่ไร้สาย 18 โวลต์ 32 มม. SDS PLUS 3 ระบบ (เครื่องเปล่า)</t>
  </si>
  <si>
    <t>*4892210210975*</t>
  </si>
  <si>
    <t>018677003</t>
  </si>
  <si>
    <t>M18 FHS20-0B0 ASIA</t>
  </si>
  <si>
    <t>M18 FUEL เลื่อยโซ่ 8”</t>
  </si>
  <si>
    <t>*4892210222107*</t>
  </si>
  <si>
    <t>018472009</t>
  </si>
  <si>
    <t>M18 FHX-0X0</t>
  </si>
  <si>
    <t>สว่านโรตารี่ไร้สาย 18 โวลต์ 26 มม. SDS PLUS 3 ระบบ (เครื่องเปล่า)</t>
  </si>
  <si>
    <t>*4892210204080*</t>
  </si>
  <si>
    <t>018262012</t>
  </si>
  <si>
    <t>M18 FHZ-0</t>
  </si>
  <si>
    <t>เลื่อยชักอเนกประสงค์ไร้สาย 18 โวลต์ (เครื่องเปล่า)</t>
  </si>
  <si>
    <t>*4892210163752*</t>
  </si>
  <si>
    <t>018615013</t>
  </si>
  <si>
    <t>M18 FID3-0 ASIA</t>
  </si>
  <si>
    <t>*4892210220554*</t>
  </si>
  <si>
    <t>018127029</t>
  </si>
  <si>
    <t>M18 FMDP-0C0</t>
  </si>
  <si>
    <t>สว่านแท่นแม่เหล็กไร้สาย 18 โวลต์ (เครื่องเปล่า)</t>
  </si>
  <si>
    <t>*4892210194787*</t>
  </si>
  <si>
    <t>018508015</t>
  </si>
  <si>
    <t>M18 FMTIW2F12-0X0 ASIA</t>
  </si>
  <si>
    <t>M18 FUEL บล็อกกระแทกไร้สาย 1/2" มิดทอร์ค</t>
  </si>
  <si>
    <t>*4892210196293*</t>
  </si>
  <si>
    <t>018341007</t>
  </si>
  <si>
    <t>M18 FN18GS-0X0 ASIA</t>
  </si>
  <si>
    <t>เครื่องยิงตะปูไร้สาย 18 โวลต์ (เครื่องเปล่า)</t>
  </si>
  <si>
    <t>*4892210187253*</t>
  </si>
  <si>
    <t>018350011</t>
  </si>
  <si>
    <t>M18 FOPH-0 ASIA</t>
  </si>
  <si>
    <t>เครื่องมืองานสวนอเนกประสงค์ไร้สาย 18 โวลต์ ระบบ QUIK-LOK (เครื่องเปล่า)</t>
  </si>
  <si>
    <t>*4892210183927*</t>
  </si>
  <si>
    <t>018645005</t>
  </si>
  <si>
    <t>M18 FOPH-BCA</t>
  </si>
  <si>
    <t>หัวต่อใบมีดตัดหญ้า</t>
  </si>
  <si>
    <t>*4892210220011*</t>
  </si>
  <si>
    <t>018377004</t>
  </si>
  <si>
    <t>M18 FOPH-CSA ASIA</t>
  </si>
  <si>
    <t>หัวต่อเลื่อยโซ่</t>
  </si>
  <si>
    <t>*4892210183903*</t>
  </si>
  <si>
    <t>018375004</t>
  </si>
  <si>
    <t>M18 FOPH-EA ASIA</t>
  </si>
  <si>
    <t>หัวต่อตัดขอบสนาม</t>
  </si>
  <si>
    <t>*4892210183880*</t>
  </si>
  <si>
    <t>018378004</t>
  </si>
  <si>
    <t>M18 FOPH-EXA ASIA</t>
  </si>
  <si>
    <t>หัวต่อขยายความยาว</t>
  </si>
  <si>
    <t>*4892210183910*</t>
  </si>
  <si>
    <t>018376004</t>
  </si>
  <si>
    <t>M18 FOPH-HTA ASIA</t>
  </si>
  <si>
    <t>หัวต่อตัดแต่งพุ่ม</t>
  </si>
  <si>
    <t>*4892210183897*</t>
  </si>
  <si>
    <t>018374004</t>
  </si>
  <si>
    <t>M18 FOPH-LTA ASIA</t>
  </si>
  <si>
    <t>หัวต่อเล็มหญ้า</t>
  </si>
  <si>
    <t>*4892210183873*</t>
  </si>
  <si>
    <t>018607012</t>
  </si>
  <si>
    <t>M18 FPD3-0</t>
  </si>
  <si>
    <t>สว่านกระแทกไร้สาย 18 โวลต์ (เครื่องเปล่า)</t>
  </si>
  <si>
    <t>*4892210220585*</t>
  </si>
  <si>
    <t>018385007</t>
  </si>
  <si>
    <t>M18 FPFT-0 ASIA</t>
  </si>
  <si>
    <t>เครื่องร้อยสายไฟไร้สาย 18 โวลต์ (เครื่องเปล่า)</t>
  </si>
  <si>
    <t>*4892210199010*</t>
  </si>
  <si>
    <t>018610005</t>
  </si>
  <si>
    <t xml:space="preserve">M18 FPT114-0C0 </t>
  </si>
  <si>
    <t>เครื่องต๊าปเกลียว ไร้สาย พร้อมลูกดาย (เครื่องเปล่า)</t>
  </si>
  <si>
    <t>*4892210219107*</t>
  </si>
  <si>
    <t>018169013</t>
  </si>
  <si>
    <t>M18 FQID-0</t>
  </si>
  <si>
    <t>ไขควงกระแทกไร้สาย 18 โวลต์ ระบบไฮดรอลิค (เครื่องเปล่า)</t>
  </si>
  <si>
    <t>*4892210156693*</t>
  </si>
  <si>
    <t>018657007</t>
  </si>
  <si>
    <t>M18 FR12-0B ASIA</t>
  </si>
  <si>
    <t>M18 FUEL 1/2" Mid-Size Router</t>
  </si>
  <si>
    <t>*4892210234919*</t>
  </si>
  <si>
    <t>018567008</t>
  </si>
  <si>
    <t>M18 FROP15-0 ASIA</t>
  </si>
  <si>
    <t>เครื่องขัดสีระบบข้อเหวี่ยงไร้สาย 18 โวลต์ (เครื่องเปล่า)</t>
  </si>
  <si>
    <t>*4892210211767*</t>
  </si>
  <si>
    <t>018522007</t>
  </si>
  <si>
    <t>M18 FRT-0X0 ASIA</t>
  </si>
  <si>
    <t>เครื่องยิงรีเวทไร้สาย 18 โวลต์ (เครื่องเปล่า)</t>
  </si>
  <si>
    <t>*4892210203885*</t>
  </si>
  <si>
    <t>018519011</t>
  </si>
  <si>
    <t xml:space="preserve">M18 FSAG100XB-0X0 </t>
  </si>
  <si>
    <t>เครื่องเจียร 4" ไร้สาย 18 โวลต์ (เครื่องเปล่า)</t>
  </si>
  <si>
    <t>*4892210203151*</t>
  </si>
  <si>
    <t>018521013</t>
  </si>
  <si>
    <t>M18 FSAGV100XB-0X0</t>
  </si>
  <si>
    <t>*4892210205902*</t>
  </si>
  <si>
    <t>018521012</t>
  </si>
  <si>
    <t>M18 FSAGV100XPDB-0X0 ASIA</t>
  </si>
  <si>
    <t>M18 FUEL GEN II 100MM VARIABLE SPEED BRAKING ANGLE GRINDER,P</t>
  </si>
  <si>
    <t>*4892210205896*</t>
  </si>
  <si>
    <t>018521010</t>
  </si>
  <si>
    <t>M18 FSAGV125XB-0X0</t>
  </si>
  <si>
    <t>เครื่องเจียร 5” ไร้สาย 18 โวลต์ ปรับความเร็วรอบได้ ระบบเบรค (เครื่องเปล่า)</t>
  </si>
  <si>
    <t>*4892210203175*</t>
  </si>
  <si>
    <t>018521011</t>
  </si>
  <si>
    <t xml:space="preserve">M18 FSAGV125XPDB-0X0 </t>
  </si>
  <si>
    <t>เครื่องเจียร 5” ไร้สาย 18 โวลต์ ปรับความเร็วรอบได้ สวิทซ์ท้อง ระบบเบรค (เครื่องเปล่า)</t>
  </si>
  <si>
    <t>*4892210203182*</t>
  </si>
  <si>
    <t>018276015</t>
  </si>
  <si>
    <t>M18 FSX-0C0 ASIA</t>
  </si>
  <si>
    <t>เลื่อยชักอเนกประสงค์ไร้สาย 18 โวลต์  (เครื่องเปล่า)</t>
  </si>
  <si>
    <t>*4892210174871*</t>
  </si>
  <si>
    <t>018340007</t>
  </si>
  <si>
    <t>M18 FTR-0 ASIA</t>
  </si>
  <si>
    <t>เครื่องเซาะร่องไร้สาย 18 โวลต์ (เครื่องเปล่า)</t>
  </si>
  <si>
    <t>*4892210187055*</t>
  </si>
  <si>
    <t>089308021</t>
  </si>
  <si>
    <t>M18 FTS210-0 ASIA</t>
  </si>
  <si>
    <t>โต๊ะเลื่อยไร้สาย 210 มม. 18 โวลต์  (เครื่องเปล่า)</t>
  </si>
  <si>
    <t>*4892210198433*</t>
  </si>
  <si>
    <t>019600816</t>
  </si>
  <si>
    <t>M18 FVC23L-0 APJ</t>
  </si>
  <si>
    <t>M18 รถเข็นดูดฝุ่นไร้สายขนาด 23 ลิตร</t>
  </si>
  <si>
    <t>*4892210219565*</t>
  </si>
  <si>
    <t>018689005</t>
  </si>
  <si>
    <t>M18 FVP50-0 ASIA</t>
  </si>
  <si>
    <t>M18 ปั้มสูญญากาศ</t>
  </si>
  <si>
    <t>*4892210233608*</t>
  </si>
  <si>
    <t>018080020</t>
  </si>
  <si>
    <t>M18 GG-0 ASIA</t>
  </si>
  <si>
    <t>M18 เครื่องอัดจารบี</t>
  </si>
  <si>
    <t>*4892210179524*</t>
  </si>
  <si>
    <t>001998237DG9</t>
  </si>
  <si>
    <t>M18 HB12 ASIA</t>
  </si>
  <si>
    <t>แบตเตอรี่ 18 โวลต์ 12.0 แอมป์อาว HIGH OUTPUT</t>
  </si>
  <si>
    <t>*4892210172082*</t>
  </si>
  <si>
    <t>001998235</t>
  </si>
  <si>
    <t>M18 HB3 ASIA</t>
  </si>
  <si>
    <t>แบตเตอรี่ 18 โวลต์ 3.0 แอมป์อาว HIGH OUTPUT</t>
  </si>
  <si>
    <t>*4892210182517*</t>
  </si>
  <si>
    <t>001998236DG9</t>
  </si>
  <si>
    <t>M18 HB8 ASIA</t>
  </si>
  <si>
    <t>แบตเตอรี่ 18 โวลต์ 8.0 แอมป์อาว HIGH OUTPUT</t>
  </si>
  <si>
    <t>*4892210180988*</t>
  </si>
  <si>
    <t>018150028</t>
  </si>
  <si>
    <t>M18 HCC-0C</t>
  </si>
  <si>
    <t>เครื่องตัดสายไฟไร้สาย ระบบไฮดรอลิค 6 ตัน (เครื่องเปล่า)</t>
  </si>
  <si>
    <t>*4892210172075*</t>
  </si>
  <si>
    <t>018209013</t>
  </si>
  <si>
    <t>M18 HCC45-0C</t>
  </si>
  <si>
    <t>เครื่องตัดสายไฟโอเวอร์เฮดไร้สาย ระบบไฮดรอลิค 9 ตัน (เครื่องเปล่า)</t>
  </si>
  <si>
    <t>*4892210156730*</t>
  </si>
  <si>
    <t>018163014</t>
  </si>
  <si>
    <t>M18 HCC75R-0C</t>
  </si>
  <si>
    <t>M18 FORCE LOGIC 9T UNDERGROUND CABLE CUTTER  BARE UNIT W/ WI</t>
  </si>
  <si>
    <t>*4892210156716*</t>
  </si>
  <si>
    <t>018160014</t>
  </si>
  <si>
    <t>M18 HCCT-0C</t>
  </si>
  <si>
    <t>เครื่องย้ำสายไฟไร้สาย ระบบไฮดรอลิค 6 ตัน (เครื่องเปล่า)</t>
  </si>
  <si>
    <t>*4892210170781*</t>
  </si>
  <si>
    <t>018162015</t>
  </si>
  <si>
    <t>M18 HCCT109/42-0C</t>
  </si>
  <si>
    <t>เครื่องย้ำสายไฟไร้สาย ระบบไฮดรอลิค 12 ตัน (เครื่องเปล่า)</t>
  </si>
  <si>
    <t>*4892210157201*</t>
  </si>
  <si>
    <t>016143008</t>
  </si>
  <si>
    <t>M18 HOSALC-0 APJ</t>
  </si>
  <si>
    <t>*4892210203649*</t>
  </si>
  <si>
    <t>016048004</t>
  </si>
  <si>
    <t>M18 LL-0</t>
  </si>
  <si>
    <t>ไฟตะเกียง 18 โวลต์ พร้อมที่ชาร์จ USB (เครื่องเปล่า)</t>
  </si>
  <si>
    <t>*4892210144133*</t>
  </si>
  <si>
    <t>018626012</t>
  </si>
  <si>
    <t>M18 ONEFHIWF1-0X0  ASIA</t>
  </si>
  <si>
    <t>บล็อกกระแทกไร้สาย 18 โวลต์ 1" (เครื่องเปล่า)</t>
  </si>
  <si>
    <t>*4892210211347*</t>
  </si>
  <si>
    <t>018399007</t>
  </si>
  <si>
    <t>M18 ONEFHIWF1D-0C0 ASIA</t>
  </si>
  <si>
    <t>บล็อกกระแทกไร้สาย 1" แรงบิดสูง แกนยาว ด้ามจับทรง D</t>
  </si>
  <si>
    <t>*4892210196286*</t>
  </si>
  <si>
    <t>018398006</t>
  </si>
  <si>
    <t xml:space="preserve">M18 ONEFHIWF1DS-0C0 </t>
  </si>
  <si>
    <t>บล็อกกระแทกไร้สาย 1" แรงบิดสูง แกนสั้น ด้ามจับทรง D</t>
  </si>
  <si>
    <t>*4892210196323*</t>
  </si>
  <si>
    <t>018588003</t>
  </si>
  <si>
    <t xml:space="preserve">M18 ONEHCCT60-0C0 </t>
  </si>
  <si>
    <t>เครื่องย้ำสายไฟไร้สาย ระบบไฮดรอลิค 60kN 18 โวลต์ (เครื่องเปล่า)</t>
  </si>
  <si>
    <t>*4892210218971*</t>
  </si>
  <si>
    <t>018175009</t>
  </si>
  <si>
    <t xml:space="preserve">M18 ONERSAL-0 </t>
  </si>
  <si>
    <t>ทาวเวอร์ไลท์ 18 โวลต์ (เครื่องเปล่า)</t>
  </si>
  <si>
    <t>*4892210192561*</t>
  </si>
  <si>
    <t>016075010</t>
  </si>
  <si>
    <t>M18 PAL-0</t>
  </si>
  <si>
    <t>ไฟส่องพื้นที่ 18 โวลต์ หัวหมุน/พับได้ (เครื่องเปล่า)</t>
  </si>
  <si>
    <t>*4892210194817*</t>
  </si>
  <si>
    <t>016136008</t>
  </si>
  <si>
    <t>M18 POALC-0 ASIA</t>
  </si>
  <si>
    <t>ไฟสนาม PACKOUT 18 โวลต์</t>
  </si>
  <si>
    <t>*4892210196569*</t>
  </si>
  <si>
    <t>016094008</t>
  </si>
  <si>
    <t xml:space="preserve">M18 SAL2-0 </t>
  </si>
  <si>
    <t>M18 ทาวเวอร์ไลท์ (เครื่องเปล่า)</t>
  </si>
  <si>
    <t>**</t>
  </si>
  <si>
    <t>016065010</t>
  </si>
  <si>
    <t>M18 SLED-0 APJ</t>
  </si>
  <si>
    <t>ไฟสำรวจแอลอีดี 18 โวลต์ (เครื่องเปล่า)</t>
  </si>
  <si>
    <t>*4573592040021*</t>
  </si>
  <si>
    <t>018303008</t>
  </si>
  <si>
    <t>M18 TAL-0</t>
  </si>
  <si>
    <t>ไฟโคมส่องพื้นที่ 18 โวลต์ 360 องศา (เครื่องเปล่า)</t>
  </si>
  <si>
    <t>*4892210193339*</t>
  </si>
  <si>
    <t>016066006</t>
  </si>
  <si>
    <t>M18 UBL-0</t>
  </si>
  <si>
    <t>ไฟแอลอีดี บัคเก็ตไลท์ 18 โวลต์ ห้วส่องไฟ 2 หัว (เครื่องเปล่า)</t>
  </si>
  <si>
    <t>*4892210156792*</t>
  </si>
  <si>
    <t>016071017</t>
  </si>
  <si>
    <t>M18 VC-2-0</t>
  </si>
  <si>
    <t>เครื่องดูดฝุ่นไร้สาย 18 โวลต์  (เครื่องเปล่า)</t>
  </si>
  <si>
    <t>*4892210163974*</t>
  </si>
  <si>
    <t>018222008</t>
  </si>
  <si>
    <t>M18 FMCS-0X</t>
  </si>
  <si>
    <t>M18 FUEL METAL SAW  BARE UNIT W/ DYNA CASE</t>
  </si>
  <si>
    <t>*4892210163387*</t>
  </si>
  <si>
    <t>018690005</t>
  </si>
  <si>
    <t>MXF COS350G2-0 ASIA</t>
  </si>
  <si>
    <t>MX FUEL เครื่องตัด 14 นิ้ว ไร้สาย</t>
  </si>
  <si>
    <t>019601432</t>
  </si>
  <si>
    <t>MXF DCD350DK-0 ASIA</t>
  </si>
  <si>
    <t>MX FUEL เครื่องคอริ่ง 14 นิ้ว ไร้สาย พร้อมขาตั้ง</t>
  </si>
  <si>
    <t>001998701DG9</t>
  </si>
  <si>
    <t>MXF HD812 ASIA</t>
  </si>
  <si>
    <t>MXF FORGE แบตเตอรี่ 12.0 แอมป์อาว</t>
  </si>
  <si>
    <t>*4892210238092*</t>
  </si>
  <si>
    <t>016150007</t>
  </si>
  <si>
    <t xml:space="preserve">MXF PS-0 </t>
  </si>
  <si>
    <t>เครื่องสำรองไฟ ชาร์จไฟในตัว</t>
  </si>
  <si>
    <t>*4892210221216*</t>
  </si>
  <si>
    <t>001998927</t>
  </si>
  <si>
    <t>MXF SC TH</t>
  </si>
  <si>
    <t>MXF แท่นชาร์จแบตเตอรี่ แบบซูเปอร์ชาร์จ</t>
  </si>
  <si>
    <t>*4892210228079*</t>
  </si>
  <si>
    <t>019600730</t>
  </si>
  <si>
    <t xml:space="preserve">MXF TL-0 </t>
  </si>
  <si>
    <t>ทาวเวอร์ไลท์ ชาร์จไฟในตัว</t>
  </si>
  <si>
    <t>*4892210202161*</t>
  </si>
  <si>
    <t>001998091DG9</t>
  </si>
  <si>
    <t>MXF XC406</t>
  </si>
  <si>
    <t>แบตเตอรี่ MXF XC406</t>
  </si>
  <si>
    <t>*4892210190338*</t>
  </si>
  <si>
    <t>001998885</t>
  </si>
  <si>
    <t>RBA-1 EMEA</t>
  </si>
  <si>
    <t>ฐานกดเซาะสำหรับเครื่องเร้าเตอร์ M18 FR12</t>
  </si>
  <si>
    <t>089309002</t>
  </si>
  <si>
    <t>TSS 1000</t>
  </si>
  <si>
    <t>ขาตั้งโต๊ะเลื่อย สำหรับ M18 FTS-0</t>
  </si>
  <si>
    <t>*4058546221720*</t>
  </si>
  <si>
    <t>Rail Wrench Fixture</t>
  </si>
  <si>
    <t>Rail Wrench Rail Fixture</t>
  </si>
  <si>
    <t>129227482</t>
  </si>
  <si>
    <t>4932471998</t>
  </si>
  <si>
    <t>ชุดลูกดาย อลูมีเนียม</t>
  </si>
  <si>
    <t>4892210132253-BF</t>
  </si>
  <si>
    <t>000138153-(BF)</t>
  </si>
  <si>
    <t>C12CSA-(BF)</t>
  </si>
  <si>
    <t>*4892210132253-BF*</t>
  </si>
  <si>
    <t>4892210132215-BF</t>
  </si>
  <si>
    <t>000999671-(BF)</t>
  </si>
  <si>
    <t>M12-18CSA-(BF)</t>
  </si>
  <si>
    <t>*4892210132215-BF*</t>
  </si>
  <si>
    <t>4892210139313-BF</t>
  </si>
  <si>
    <t>001997014-(BF)</t>
  </si>
  <si>
    <t>M12-18FCSA-(BF)</t>
  </si>
  <si>
    <t>*4892210139313-BF*</t>
  </si>
  <si>
    <t>4892210238139-BF</t>
  </si>
  <si>
    <t>001998938-(BF)</t>
  </si>
  <si>
    <t>M18DBSCSA-(BF)</t>
  </si>
  <si>
    <t>*4892210238139-BF*</t>
  </si>
  <si>
    <t>4892210190406-BF</t>
  </si>
  <si>
    <t>001998221-(BF)</t>
  </si>
  <si>
    <t>MXFCSA-(BF)</t>
  </si>
  <si>
    <t>MX FUEL CHARGER, INPUT 100~240V AC \ OUTPUT 72V 4.5A DC</t>
  </si>
  <si>
    <t>*4892210190406-BF*</t>
  </si>
  <si>
    <t>4892210228079-BF</t>
  </si>
  <si>
    <t>001998927-(BF)</t>
  </si>
  <si>
    <t>MXFSCTH-(BF)</t>
  </si>
  <si>
    <t>*4892210228079-BF*</t>
  </si>
  <si>
    <t>4892210130266-BF</t>
  </si>
  <si>
    <t>001998232-(BF)</t>
  </si>
  <si>
    <t>M12B2ASIA-(BF)</t>
  </si>
  <si>
    <t>*4892210130266-BF*</t>
  </si>
  <si>
    <t>4892210130273-BF</t>
  </si>
  <si>
    <t>001998233-(BF)</t>
  </si>
  <si>
    <t>M12B4ASIA-(BF)</t>
  </si>
  <si>
    <t>*4892210130273-BF*</t>
  </si>
  <si>
    <t>4892210220677-BF</t>
  </si>
  <si>
    <t>001997033-(BF)</t>
  </si>
  <si>
    <t>M12HB5-(BF)</t>
  </si>
  <si>
    <t>*4892210220677-BF*</t>
  </si>
  <si>
    <t>4892210141347-BF</t>
  </si>
  <si>
    <t>001998238-(BF)</t>
  </si>
  <si>
    <t>M18B5ASIA-(BF)</t>
  </si>
  <si>
    <t>*4892210141347-BF*</t>
  </si>
  <si>
    <t>4892210182517-BF</t>
  </si>
  <si>
    <t>001998235-(BF)</t>
  </si>
  <si>
    <t>M18HB3ASIA-(BF)</t>
  </si>
  <si>
    <t>*4892210182517-BF*</t>
  </si>
  <si>
    <t>4892210180988-BF</t>
  </si>
  <si>
    <t>001998236DG9-(BF)</t>
  </si>
  <si>
    <t>M18HB8ASIA-(BF)</t>
  </si>
  <si>
    <t>*4892210180988-BF*</t>
  </si>
  <si>
    <t>4892210172082-BF</t>
  </si>
  <si>
    <t>001998237DG9-(BF)</t>
  </si>
  <si>
    <t>M18HB12ASIA-(BF)</t>
  </si>
  <si>
    <t>*4892210172082-BF*</t>
  </si>
  <si>
    <t>4892210236128-BF</t>
  </si>
  <si>
    <t>001998977DG9-(BF)</t>
  </si>
  <si>
    <t>M18FB6ASIA-(BF)</t>
  </si>
  <si>
    <t>*4892210236128-BF*</t>
  </si>
  <si>
    <t>4892210190345-BF</t>
  </si>
  <si>
    <t>001998090DG9-(BF)</t>
  </si>
  <si>
    <t>MXFCP203-(BF)</t>
  </si>
  <si>
    <t>*4892210190345-BF*</t>
  </si>
  <si>
    <t>4892210190338-BF</t>
  </si>
  <si>
    <t>001998091DG9-(BF)</t>
  </si>
  <si>
    <t>MXFXC406-(BF)</t>
  </si>
  <si>
    <t>*4892210190338-BF*</t>
  </si>
  <si>
    <t>4892210238092-BF</t>
  </si>
  <si>
    <t>001998701DG9-(BF)</t>
  </si>
  <si>
    <t>MXFHD812ASIA-(BF)</t>
  </si>
  <si>
    <t>*4892210238092-BF*</t>
  </si>
  <si>
    <t>ReceiveType</t>
  </si>
  <si>
    <t>User</t>
  </si>
  <si>
    <t>Tax Invoice</t>
  </si>
  <si>
    <t>Cash &amp; Card</t>
  </si>
  <si>
    <t>Cat</t>
  </si>
  <si>
    <t>Transfer &amp; Card</t>
  </si>
  <si>
    <t>Total Item</t>
  </si>
  <si>
    <t>Sum</t>
  </si>
  <si>
    <t>Customer</t>
  </si>
  <si>
    <t>Total Price (Exclude Vat)</t>
  </si>
  <si>
    <t>Online (Kerry)</t>
  </si>
  <si>
    <t>คุณ อุทิศ บุญวัฒน์</t>
  </si>
  <si>
    <t>-</t>
  </si>
  <si>
    <t>คุณ สุพจน์ จัดวานิล</t>
  </si>
  <si>
    <t>คุณ สัมฤทธิ์ เรืองศรี</t>
  </si>
  <si>
    <t>บริษัท กรุงเทพแคนวาส จำกัด</t>
  </si>
  <si>
    <t>1317 ซอยจรัญสนิทวงศ์ 13 ถนนจรัญสนิทวงศ์ แขวงวัดท่าพระ เขตบางกอกใหญ่ กรุงเทพฯ 10600</t>
  </si>
  <si>
    <t>บริษัท เค.เยนเนอรัล อีควิปเม้นท์ จำกัด สำนักงานใหญ่</t>
  </si>
  <si>
    <t>107/24-25 ถนนประชาราษฎร์ สาย 1 แขวงบางซื่อ เขตบางซื่อ กรุงเทพฯ 10800</t>
  </si>
  <si>
    <t>คุณ กุลธัช บุญบางการ</t>
  </si>
  <si>
    <t>169 ซอยสบายใจ ถนนสุทธิสาร เขตห้วยขวาง แขวงสามเสนนอก กรุงเทพฯ 10310</t>
  </si>
  <si>
    <t>คุณ กิตติพันธ์ กรรณิกาธนานนท์</t>
  </si>
  <si>
    <t>บริษัท อุตสาหกรรมแป้งเหรียญทอง จำกัด</t>
  </si>
  <si>
    <t>42/7 หมู่ 1 ซอยวัดอ้อมใหญ่ ถ.เพชรเกษม ต.อ้อมใหญ่ อ.สามพราน จ.นครปฐม 73160</t>
  </si>
  <si>
    <t>คุณ อัครเดช</t>
  </si>
  <si>
    <t>คุณ อโนชา</t>
  </si>
  <si>
    <t>บริษัท ฟาโรห์ เอ็นจิเนียริ่ง จำกัด (สำนักงานใหญ่)</t>
  </si>
  <si>
    <t>106/146 หมู่ที่ 4 ต.หนองหอย อ.เมืองเชียงใหม่ จ.เชียงใหม่ 50000</t>
  </si>
  <si>
    <t>พรณ์ปวีฐ์ นรีรัตน์ เลขที่ 91/108 หมู่บ้านอารียาเดอะคัลเลอร์เฟส 4 หมู่ 2 ต.บ้านใหม่ อ.ปากเกร็ด จ.นนทบุรี 11120 โทร.0947181619</t>
  </si>
  <si>
    <t>คุณ ชณันภัสร์</t>
  </si>
  <si>
    <t>คุณ แบงค์</t>
  </si>
  <si>
    <t>คุณ อมร</t>
  </si>
  <si>
    <t>คุณ เกน</t>
  </si>
  <si>
    <t>นาย สุชาติ ห้วยนอก</t>
  </si>
  <si>
    <t>32 ซ.เฉลิมพระเกียรติ ร.๙ ซอย 30 แยก 14-4 แขวงดอกไม้ เขตประเวศ กรุงเทพมหานคร 10250</t>
  </si>
  <si>
    <t>คุณ ป๋อม</t>
  </si>
  <si>
    <t>คุณ ศุภโชค</t>
  </si>
  <si>
    <t>คุณ พงษ์ถวัช</t>
  </si>
  <si>
    <t>คุณ ถนัด</t>
  </si>
  <si>
    <t>คุณ ธนะกฤษฏิ์ เกียรติไกรเมส</t>
  </si>
  <si>
    <t>19/528 ซ.นวมินทร์ 26 แยก 1 คลองกุ่ม บึงกุ่ม กทม. 10240</t>
  </si>
  <si>
    <t>101/397 หมู่บ้านปรีชา (สาย 4) ซอย 8 ถนนพุทธมณฑล สาย 4, กระทุ่มส้ม, อ. สามพราน, จ.นครปฐม 73220</t>
  </si>
  <si>
    <t>คุณ ณัฐวรี</t>
  </si>
  <si>
    <t>คุณ ธวัชชัย</t>
  </si>
  <si>
    <t>คุณ ศิริชัย</t>
  </si>
  <si>
    <t>คุณ ณัฐชนน พัฒนโก</t>
  </si>
  <si>
    <t>คุณ คัจฉพงษ์ เศรษฐบรมศักดิ์</t>
  </si>
  <si>
    <t>คุณ คาวี ฆารชัย</t>
  </si>
  <si>
    <t>คุณ จริยา</t>
  </si>
  <si>
    <t xml:space="preserve">บริษัท แอบโซลูท 65 </t>
  </si>
  <si>
    <t>713/4 ซอย สุขุมวิท 101 แขวงบางจาก เขตพระโขนง กรุงเทพมหานคร 10260</t>
  </si>
  <si>
    <t>คุณ ณัฐนรี พันธ์ทองลาภทวี โทร. 091-795-9952 206/27 อาคารชุดพักอาศัย ชั้น 3 ถ.สุขุมวิท 64 แขวงพระโขนง เขตพระโขนง กรุงเทพมหานคร 10260</t>
  </si>
  <si>
    <t>คุณ อธิ</t>
  </si>
  <si>
    <t>คุณ ขวัญชัย อิ่มแผ่ว</t>
  </si>
  <si>
    <t>คุณ จิรชยุตม์</t>
  </si>
  <si>
    <t>คุณ ศราวุธ</t>
  </si>
  <si>
    <t>บริษัท ซีพีอาร์ เฟอร์นิเจอร์ ไซน์ จำกัด</t>
  </si>
  <si>
    <t>417/214 ซอยพิบูลอุปถัมภ์ แขวงสามเสนนอก เขตห้วยขวาง กรุงเทพมหานคร 10310</t>
  </si>
  <si>
    <t>คุณ ปริญญา</t>
  </si>
  <si>
    <t>คุณ กิตติพงษ์</t>
  </si>
  <si>
    <t>คุณ ปกรณ์</t>
  </si>
  <si>
    <t>คุณ สุธรณ์</t>
  </si>
  <si>
    <t>คุณ ฤทธิชัย เพชรหนองชุม</t>
  </si>
  <si>
    <t>บจก. สี่แสงเอเชีย</t>
  </si>
  <si>
    <t>คุณ วุฒิชัย อภินพไพบูลย์</t>
  </si>
  <si>
    <t>คุณ เจษสุภา</t>
  </si>
  <si>
    <t>คุณ วงศ์ปิติ</t>
  </si>
  <si>
    <t>คุณ ซิน</t>
  </si>
  <si>
    <t>คุณ ดาราภรณ์ ทัพโพธิ์</t>
  </si>
  <si>
    <t>บริษัท ฝ้ายการช่าง จำกัด</t>
  </si>
  <si>
    <t>1/21 ม.9 ต.ทุ่งสุขลา อ.ศรีราชา จ.ชลบุรี 20230</t>
  </si>
  <si>
    <t>คุณ ชัยวัฒน์</t>
  </si>
  <si>
    <t>คุณ นาเดีย</t>
  </si>
  <si>
    <t>คุณ อาคม ประภัทรมณีย์</t>
  </si>
  <si>
    <t>คุณ วิริยะ</t>
  </si>
  <si>
    <t>คุณ ประวัติ บุษดี</t>
  </si>
  <si>
    <t>คุณ อนุวัตน์ จีนพั่ว</t>
  </si>
  <si>
    <t>คุณ สุวิทย์</t>
  </si>
  <si>
    <t>บริษัท กวีวัฒน์ ดีไซน์แอนด์คอนสตรัคชั่น จำกัด</t>
  </si>
  <si>
    <t>456 ซอยลาดพร้าว 47 ถนนลาดพร้าว แขวงสะพานสอง เขตวังทองหลาง กรุงเทพมหานคร 10310</t>
  </si>
  <si>
    <t>คุณ สมบูรณ์ ขุนทองน้อย</t>
  </si>
  <si>
    <t>คุณชาลี จิรเสวก</t>
  </si>
  <si>
    <t>59/419 ม.ปัญญาเลคโฮม ถนนนิมิตรใหม่ ซอยนิมิตรใหม่28 แขวงคลองสามวาตะวันออก เขตคลองสามวา กรุงเทพฯ 10510</t>
  </si>
  <si>
    <t>คุณ อริสรา บุญเกลี้ยง</t>
  </si>
  <si>
    <t>พ.ต. พันรบ ณ ลำปาง</t>
  </si>
  <si>
    <t>คุณ ประสิทธิ์</t>
  </si>
  <si>
    <t>พันจ่าอากาศเอกรังสิกุล แก้วประกอบ</t>
  </si>
  <si>
    <t>บริษัท เร็กซ์คอน จำกัด</t>
  </si>
  <si>
    <t>11/45 ซอยปานเวียง ถนนเลียบทางด่วน แขวงทุ่งครุ เขตทุ่งครุ กรุงเทพมหานคร 10140</t>
  </si>
  <si>
    <t>บริษัท ทรัพย์มงคล 88 จำกัด</t>
  </si>
  <si>
    <t>111/30 หมู่ 7 ตำบลบางหลวง อำเภอเมืองปทุมธานี จังหวัดปทุมธานี 12000</t>
  </si>
  <si>
    <t>คุณ ปิยะพันธุ์ บ้านเตย 88/136 มบ.เฟื่องสุข3 ม.5 ต.ลำโพ อ.บางบัวทอง จ.นนทบุรี 11110</t>
  </si>
  <si>
    <t>บริษัท วรศักดา จำกัด</t>
  </si>
  <si>
    <t>36 หมู่ที่ 4 ตำบลหนองนาก อำเภอหนองแค จังหวัดสระบุรี 18230</t>
  </si>
  <si>
    <t>บริษัท เอ็นพี คอนสตรัคชั่น 2013 จำกัด</t>
  </si>
  <si>
    <t>2018 หมู่บ้านสินธร-อ่อนนุช ถนนลาดกระบัง แขวงลาดกระบัง เขตลาดกระบัง กรุงเทพมหานคร 10520</t>
  </si>
  <si>
    <t>คุณ คมกฤษ บุญโนนยาง</t>
  </si>
  <si>
    <t>คุณ รชต ศรีลานุช</t>
  </si>
  <si>
    <t>คุณ ญาลินดา เรียนหัตถะกรรม</t>
  </si>
  <si>
    <t>บริษัท โคราช เลเบิ้ล 2004 จำกัด</t>
  </si>
  <si>
    <t>254/1 ซอยมิตรภาพ 4 ตำบลในเมือง อำเภอเมือง จังหวัดนครราชสีมา 30000</t>
  </si>
  <si>
    <t>บริษัท วี.ที.เอส.เอ็นเตอร์ไพร์ส จำกัด</t>
  </si>
  <si>
    <t>46 ซอยรังสิต-ปทุมธานี14 ถนนรังสิต-ปทุมธานี ตำบลประชาธิปัตย์ อำเภอธัญบุรี จังหวัดปทุมธานี 12130</t>
  </si>
  <si>
    <t>คุณ อรรถพล ศรีผ่าน</t>
  </si>
  <si>
    <t>คุณอนุสรณ์</t>
  </si>
  <si>
    <t>บริษัท เอสที เบิร์ท พร๊อพเพอร์ตี้ จำกัด</t>
  </si>
  <si>
    <t>67/8 ถนนพัฒนาชนบท 3 แขวงคลองสองต้นนุ่น เขตลาดกระบัง กรุงเทพมหานคร 10520</t>
  </si>
  <si>
    <t>คุณพชา</t>
  </si>
  <si>
    <t>คุณภาณุมาส ดุลยสิทธิ์</t>
  </si>
  <si>
    <t>หจก.ครีเอทีฟพริ้นท์เฮด</t>
  </si>
  <si>
    <t>5/14 ซอยสุขาภิบาล5 ซอย5 แยก17 แขวงท่าแร้ง เขตชางเขน กรุงเทพฯ 10220</t>
  </si>
  <si>
    <t>คุณ นุชนาฏ ม่วงปรีดา</t>
  </si>
  <si>
    <t>บริษัท หนึ่งศูนย์หนึ่ง บิสสิเนสโปรดักส์ จำกัด</t>
  </si>
  <si>
    <t>16 ซอยลาดพร้าว 101 (ซอย56) ถนนลาดพร้าว แขวงคลองจั่น เขตบางกะปิ กรุงเทพฯ 10240</t>
  </si>
  <si>
    <t>คุณสมใจ เภากัน 94 ซ.โพธิ์แก้ว3 แยก19 แขวงคลองจั่น เขตบางกะปิ กรุงเทพฯ 10240</t>
  </si>
  <si>
    <t>คุณวสันต์ ออมสิน</t>
  </si>
  <si>
    <t>คุณเกรียงศักดิ์ นาราศรี</t>
  </si>
  <si>
    <t>059600307</t>
  </si>
  <si>
    <t>M18 FPP2AC3-502LR SA</t>
  </si>
  <si>
    <t>055607078</t>
  </si>
  <si>
    <t>M18 FPP2S3-502B SA</t>
  </si>
  <si>
    <t>018257022</t>
  </si>
  <si>
    <t>L4 FL-301</t>
  </si>
  <si>
    <t>M18 FPP2AC3-502LR SA (ชุดคอมโบสำหรับช่างไฟ)</t>
  </si>
  <si>
    <t>M18 FPP2S3-502B SA (ชุดคอมโบ ช่างประปา)</t>
  </si>
  <si>
    <t>4932464717 MILWAUKEE 76MM METAL CUTTING WHEEL 5PK</t>
  </si>
  <si>
    <t>76MM DIAMOND BLADE</t>
  </si>
  <si>
    <t>L4 FLOODLIGHT, ASIA VERSION, W/LB3 BATTERY WITH USB TYPE C DESIGN CHANGE</t>
  </si>
  <si>
    <t>หจก. อีควอล เค</t>
  </si>
  <si>
    <t>8/81 หมู่บ้านบุราสิริ พระราม2 แขวงแสมดำ เขตบางขุนเทียน กรุงเทพฯ 10150</t>
  </si>
  <si>
    <t>คุณ ศุภวัฒน์ งามพันธุ์ดิศร</t>
  </si>
  <si>
    <t>บริษัท โกลเด้น ฮอร์ส เอ็นเตอร์ไพรส์ จำกัด</t>
  </si>
  <si>
    <t>81 หมู่ที่ 2 ถนนเทศบาล 3 ตำบลเหนือคลอง อำเภอเหนือคลอง จ.กระบี่ 81130</t>
  </si>
  <si>
    <t>A081-1</t>
  </si>
  <si>
    <t>ที่อยู่ในการส่งของKerry</t>
  </si>
  <si>
    <t>คุณอรอุมา อยู่เย็น 434/3 ต.กะรน อ.เมือง จ.ภูเก็ต 83100</t>
  </si>
  <si>
    <t>คุณ ธนานุวัฒน์ ชื่นประดิษ</t>
  </si>
  <si>
    <t>บริษัท มอซ ครีเอชั่น (ประเทศไทย) จำกัด</t>
  </si>
  <si>
    <t>850/26 ถนนลาดกระบัง แขวงลาดกระบัง เขตลาดกระบัง กรุงเทพมหานคร 10520</t>
  </si>
  <si>
    <t>บริษัท นีโอ ออแกไนเซอร์ จำกัด</t>
  </si>
  <si>
    <t>116/23 หมู่ที่ 1 ตำบลช้างเผือก อำเภอเขตเมืองเชียงใหม่ จังหวัดเชียงใหม่ 50300</t>
  </si>
  <si>
    <t>บริษัท ปิ่นทอง อาร์คิเทคท์ แอนด์ คอนสตรัคชั่น จำกัด </t>
  </si>
  <si>
    <t>141/235 หมู่ที่ 2 ตำบลต้นเปา อำเภอสันกำแพง จังหวัดเชียงใหม่ 50130</t>
  </si>
  <si>
    <t>คุณพัชรวรรณ ใจปัง</t>
  </si>
  <si>
    <t>บริษัท ดีทรัสส์ โฮมลิฟต์ จำกัด</t>
  </si>
  <si>
    <t>8 ซอยหัวหมาก 9 แยก 3 แขวงหัวหมาก เขตบางกะปิ กรุงเทพมหานคร 10240</t>
  </si>
  <si>
    <t>บริษัท อาร์ทิไซน์ คอมเมอเชี่ยล ดีไซน์ จำกัด</t>
  </si>
  <si>
    <t>237/120 ซอยพหลโยธิน 32 แขวงเสนานิคม เขตจตุจักร กรุงเทพมหานคร 10900</t>
  </si>
  <si>
    <t>ห้างหุ้นส่วนจำกัด ศิริไชยวรรณ  </t>
  </si>
  <si>
    <t>20/2 หมู่ที่ 5 ตำบลบางกะดี อำเภอเมืองปทุมธานี จังหวัดปทุมธานี 12000</t>
  </si>
  <si>
    <t>คุณณัฐดนัย</t>
  </si>
  <si>
    <t>คุณ ธีรพัฒน์ สู่วงศ์ธรรม</t>
  </si>
  <si>
    <t>คุณศิลปชัย คล้ายเอม</t>
  </si>
  <si>
    <t>081-7421994</t>
  </si>
  <si>
    <t>บริษัท สยามแมททีเรียลแอนด์บิสซิเนส จำกัด</t>
  </si>
  <si>
    <t>46 ซอยพัฒนาการ20 ถนนพัฒนาการ แขวงสวนหลวง เขตสวนหลวง กรุงเทพฯ 10250</t>
  </si>
  <si>
    <t>3/318-3/321 อาคารอุตสาหกรรมบี หมู่ 9 ถนนสุวินทวงศ์ แขวงลำผักชี เขตหนองจอก กรุงเทพฯ 10530</t>
  </si>
  <si>
    <t>088-7888945</t>
  </si>
  <si>
    <t xml:space="preserve">บริษัท ไฟน์ วู๊ด จำกัด </t>
  </si>
  <si>
    <t>บริษัท พรประเสริฐอาหารสัตว์ จำกัด</t>
  </si>
  <si>
    <t>19 หมู่ 4 ตำบลบ้านปรือ อำเภอกระสัง จังหวัดบุรีรัมย์ 31160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</si>
  <si>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</si>
  <si>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</si>
  <si>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</si>
  <si>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</si>
  <si>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</si>
  <si>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</si>
  <si>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</si>
  <si>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</si>
  <si>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</si>
  <si>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</si>
  <si>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</si>
  <si>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</si>
  <si>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</si>
  <si>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</si>
  <si>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</si>
  <si>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</si>
  <si>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</si>
  <si>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</si>
  <si>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</si>
  <si>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</si>
  <si>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</si>
  <si>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</si>
  <si>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</si>
  <si>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</si>
  <si>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085-6448800</t>
  </si>
  <si>
    <t>คุณนนทัช วงศ์พาณิชยกุล</t>
  </si>
  <si>
    <t>358 ม.2 ถ.นิตโย ต.สว่างแดนดิน อ.สว่างแดนดิน จ.สกลนคร 47110</t>
  </si>
  <si>
    <t>084-6697178</t>
  </si>
  <si>
    <t>ณรงค์ศักดิ์ ซัพพลาย</t>
  </si>
  <si>
    <t>651/2 หมู่ที่ 4 ตำบลไสไทย อำเภอเมืองกระบี่ จังหวัดกระบี่ 81000</t>
  </si>
  <si>
    <t>**ส่งKerry ไม่ใช้Tax</t>
  </si>
  <si>
    <t>บริษัท โกลเด้นกลาส 2019 จำกัด</t>
  </si>
  <si>
    <t>348/12 ถนนเลย-เชียงคาน ตำบลกุดป่อง อำเภอเมือง จังหวัดเลย 42000</t>
  </si>
  <si>
    <t>บริษัท เค เอ็ม ที โปรเฟสซัลเนิล จำกัด</t>
  </si>
  <si>
    <t>908 ซอยศรีด่าน 9 ถนนศรีนครินทร์ ต.สำโรงเหนือ อ.เมือง จ.สมุทรปราการ 10270</t>
  </si>
  <si>
    <t>081-8060588</t>
  </si>
  <si>
    <t>คุณภาสวัฒน์ บุญดิเรก</t>
  </si>
  <si>
    <t>คุณสราวุธ ศรีบุญตอง</t>
  </si>
  <si>
    <t>7/5 หมู่ 7 ตำบลศีรษะจรเข้น้อย อำเภอบางเสาธง จังหวัดสมุทรปราการ 10540</t>
  </si>
  <si>
    <t>บริษัท เอ็มทีเอ็กซ์ ซิสเต็มส์ จำกัด</t>
  </si>
  <si>
    <t>บริษัท อินโนเวท 199 จำกัด</t>
  </si>
  <si>
    <t>25/61 ซ.รามคำแหง 124 แขวงสะพานสูง เขตสะพานสูง กรุงเทพฯ 10240</t>
  </si>
  <si>
    <t>คุณแฟ 109/67 หบ.มัณฑนา-พระราม9 ถ.คู่ขนานวงแหวน แขวงสะพานสูง เขตสะพานสูง กรุงเทพฯ 10250</t>
  </si>
  <si>
    <t>คุณนิพิฐ สง่ามั่งคั่ง</t>
  </si>
  <si>
    <t>คุณวีระพล</t>
  </si>
  <si>
    <t>089-6159444</t>
  </si>
  <si>
    <t>บิล 0505002 เปิดบิลใหม่แทนบิล 0105028(ยกเลิกทั้งบิลออกใหม่) เนื่องจากลูกค้าได้แบตไปผิดรุ่น ลูกค้าเพิ่มเงิน 2,200 บาท</t>
  </si>
  <si>
    <t>คุณธนะศักดิ์ สว่างมุก</t>
  </si>
  <si>
    <t>081-8323852</t>
  </si>
  <si>
    <t>คุณเทพประทาน หิรัญวัฒน์</t>
  </si>
  <si>
    <t>หจก.ท.ล. ขนส่ง 199/57 ม.7 หมู่บ้านสีวลี สุวรรณภูมิ ต.บางพลีใหญ่ อ.บางพลี จ.สมุทรปราการ 10540</t>
  </si>
  <si>
    <t>094-6625978</t>
  </si>
  <si>
    <t>หจก.ฟิวชั่นโฮม 188/7 ม.2 ต.สามเรือน อ.บางปะอิน จ.พระนครศรีอยุธยา 13160</t>
  </si>
  <si>
    <t>โอนรวมกับบิล 0505002 ยอด 2,288</t>
  </si>
  <si>
    <t>หจก.เจแอนด์พีเทเลคอม</t>
  </si>
  <si>
    <t>50/4-5 ถ.เทศบาล2 ต.วารินชำราบ อ.วารินชำราบ จ.อุบลราชธานี 34190</t>
  </si>
  <si>
    <t>086-2592999</t>
  </si>
  <si>
    <t>48-32-5034</t>
  </si>
  <si>
    <t>Adaptor หัวบล๊อค 1/2"</t>
  </si>
  <si>
    <t>คุณชำนิ พูลสวัสดิ์</t>
  </si>
  <si>
    <t>196 ถ.โชคชัย4 แขวง ลาดพร้าว เขตลาดพร้าว กรุงเทพฯ 10230</t>
  </si>
  <si>
    <t>081-6465262</t>
  </si>
  <si>
    <t>ไม่มีข้อมูลในระบบ เพิ่มให้หน่อยค่ะ คิดราคาลูกค้าถูกแล้วค่ะ</t>
  </si>
  <si>
    <t>บจก.วีทีเอส เทคโนโลยีโซลูชั่น</t>
  </si>
  <si>
    <t>135/104 ม.5 ต.รัษฏา อ.เมืองภูเก็ต จ.ภูเก็ต 83000</t>
  </si>
  <si>
    <t>081-7338153</t>
  </si>
  <si>
    <t>บจก.เคดีเอสเอสเทรดดิ้งแอนด์เซอร์วิส</t>
  </si>
  <si>
    <t>60/107 ม.18 ต.คูคต อ.ลำลูกกา จ.ปทุมธานี 12130</t>
  </si>
  <si>
    <t>084-6266646</t>
  </si>
  <si>
    <t>925 ม.12 ต.สว่างดินแดน อ.สว่างดินแดน จ.สกลนคร 47100</t>
  </si>
  <si>
    <t xml:space="preserve">บจก.สเปช วัน </t>
  </si>
  <si>
    <t>2 ชั้น 4 ห้อง401 ซ.จินดาถวิล แขวงมหาพฤฒาราม เขตบางรัก กรุงเทพฯ 10500</t>
  </si>
  <si>
    <t>119/44 ถ.ราษฏร์คนึง ต.ในเมือง อ.เมือง จ.ขอนแก่น 40000</t>
  </si>
  <si>
    <t>ทรัพย์ อิเล็คทรอนิกส์</t>
  </si>
  <si>
    <t>48-22-8451</t>
  </si>
  <si>
    <t>Foam for packout</t>
  </si>
  <si>
    <t>081-9540014</t>
  </si>
  <si>
    <t>Vipavee Kipong</t>
  </si>
  <si>
    <t>96/24 Mansion 39, Soi Sukumvit 39, KlongtoeyNua Wattana Bangkok 10110</t>
  </si>
  <si>
    <t>บริษัท วันไนน์เจมส์ จำกัด</t>
  </si>
  <si>
    <t>081-5878190</t>
  </si>
  <si>
    <t>บจก.บรูทัล คลับ สตูดิโอ</t>
  </si>
  <si>
    <t>35/286 ม.2 ต.คลองสาม อ.คลองหลวฃ จ.ปทุมธานี 12120</t>
  </si>
  <si>
    <t>ห้างหุ้นส่วนจำกัด ส.สมหวังเซอร์วิส  </t>
  </si>
  <si>
    <t>096-8246239</t>
  </si>
  <si>
    <t>บริษัท จำรัสร่วมใจ จำกัด</t>
  </si>
  <si>
    <t> 9,9/1,9/2 หมู่ที่ 2 ตำบล/แขวง ไทรใหญ่ อำเภอ/เขต ไทรน้อย จังหวัด นนทบุรี 11150</t>
  </si>
  <si>
    <t>ห้างหุ้นส่วนจำกัด พีเอเอ แอร์ เซอร์วิส</t>
  </si>
  <si>
    <t>14/255 หมู่ที่ 8 ตำบล/แขวง บางโฉลง อำเภอ/เขต บางพลี จังหวัด สมุทรปราการ 10540</t>
  </si>
  <si>
    <t>084-2824465</t>
  </si>
  <si>
    <t>คุณฐิติกร ดิเรกรัตนนันท์</t>
  </si>
  <si>
    <t>บริษัท พี เทค คูลส์ กู๊ด เซอร์วิส จำกัด</t>
  </si>
  <si>
    <t>29/278 หมู่ที่ 2 ตำบลคลองสาม อำเภอคลองหลวง จังหวัดปทุมธานี 12120</t>
  </si>
  <si>
    <t>081-8291512</t>
  </si>
  <si>
    <t>*หาชื่อไม่เจอ</t>
  </si>
  <si>
    <t>ห้างหุ้นส่วนจำกัด เก๋าไซร์ ไอซ์   (สำนักงานใหญ่)</t>
  </si>
  <si>
    <t>บริษัท พิทักษ์ธนทรัพย์ จำกัด</t>
  </si>
  <si>
    <t>นายคณิต นิลรุ่งรัตนา</t>
  </si>
  <si>
    <t>1 ซอยเพชรเกษม 28 แยก 4 แขวงปากคลองภาษีเจริญ เขตภาษีเจริญ กรุงเทพมหานคร 10160</t>
  </si>
  <si>
    <t>99 หมู่ที่ 10 ตำบลห้วยทราย อำเภอหนองแค จังหวัดสระบุรี 18230</t>
  </si>
  <si>
    <t>342/3 ถนนปราจีนตคาม ตำบลหน้าเมือง อำเภอเมืองปราจีนบุรี จังหวัดปราจีนบุรี  25000</t>
  </si>
  <si>
    <t>91 ซ.จรัญสนิทวงศ์75 แขวงบางพลัด เขตบางพลัด กรุงเทพฯ 10700</t>
  </si>
  <si>
    <t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t>
  </si>
  <si>
    <t>1/373 ศุภาลัย ปาร์ค พหลโยธิน ซ.พหลโยธิน 21 แขวงจตุจักร เขตจตุจักร กรุงเทพฯ 10900</t>
  </si>
  <si>
    <t>A128</t>
  </si>
  <si>
    <t>นาย จักรกฤษณ์ เสือครบุรี</t>
  </si>
  <si>
    <t>99/12 หมู่ที่ 9 ตำบลท่าโพธิ์ อำเภอเมืองพิษณุโลก จังหวัดพิษณุโลก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</si>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</sst>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87" formatCode="_(* #,##0.00_);_(* \(#,##0.00\);_(* &quot;-&quot;??_);_(@_)"/>
    <numFmt numFmtId="188" formatCode="_(&quot;$&quot;* #,##0.00_);_(&quot;$&quot;* \(#,##0.00\);_(&quot;$&quot;* &quot;-&quot;??_);_(@_)"/>
    <numFmt numFmtId="189" formatCode="#,##0.00\ ;#,##0.00\ ;\-#\ ;\ @\ "/>
    <numFmt numFmtId="190" formatCode="[$฿-41E]#,##0.00;[Red]\-[$฿-41E]#,##0.00"/>
    <numFmt numFmtId="191" formatCode="#,##0.00\ ;\-#,##0.00\ ;\-#\ ;@\ "/>
    <numFmt numFmtId="192" formatCode="#,##0\ ;\-#,##0\ ;\-#\ ;@\ "/>
    <numFmt numFmtId="193" formatCode="[$-F800]dddd\,\ mmmm\ dd\,\ yyyy"/>
    <numFmt numFmtId="194" formatCode="[$-107041E]d\ mmmm\ yyyy;@"/>
    <numFmt numFmtId="195" formatCode="#,##0.00\ ;\-#,##0.00\ ;\-#.00\ ;@\ "/>
    <numFmt numFmtId="196" formatCode="[$-1000000]0\ 0000\ 00000\ 00\ 0"/>
    <numFmt numFmtId="197" formatCode="000\-0000000"/>
    <numFmt numFmtId="198" formatCode="dd/mm/yyyy;@"/>
    <numFmt numFmtId="199" formatCode="#,##0.00\ ;\-#,##0.00\ ;\-#.0\ ;@\ "/>
    <numFmt numFmtId="200" formatCode="00000"/>
    <numFmt numFmtId="201" formatCode="0000000"/>
  </numFmts>
  <fonts count="57">
    <font>
      <sz val="11"/>
      <color rgb="FF000000"/>
      <name val="Arial1"/>
      <charset val="222"/>
    </font>
    <font>
      <sz val="11"/>
      <color theme="1"/>
      <name val="Tahoma"/>
      <family val="2"/>
      <scheme val="minor"/>
    </font>
    <font>
      <b/>
      <i/>
      <sz val="16"/>
      <color rgb="FF000000"/>
      <name val="Arial1"/>
      <charset val="222"/>
    </font>
    <font>
      <sz val="9"/>
      <color rgb="FF000000"/>
      <name val="Tahoma"/>
      <family val="2"/>
    </font>
    <font>
      <b/>
      <i/>
      <u/>
      <sz val="11"/>
      <color rgb="FF000000"/>
      <name val="Arial1"/>
      <charset val="222"/>
    </font>
    <font>
      <sz val="11"/>
      <color rgb="FF000000"/>
      <name val="Arial1"/>
      <charset val="222"/>
    </font>
    <font>
      <sz val="8"/>
      <name val="Arial1"/>
      <charset val="222"/>
    </font>
    <font>
      <sz val="11"/>
      <color theme="1"/>
      <name val="Tahoma"/>
      <family val="2"/>
      <scheme val="minor"/>
    </font>
    <font>
      <sz val="14"/>
      <color theme="1"/>
      <name val="FreesiaUPC"/>
      <family val="2"/>
    </font>
    <font>
      <sz val="12"/>
      <color theme="1"/>
      <name val="FreesiaUPC"/>
      <family val="2"/>
    </font>
    <font>
      <sz val="11"/>
      <color theme="1"/>
      <name val="FreesiaUPC"/>
      <family val="2"/>
    </font>
    <font>
      <sz val="9"/>
      <color theme="1"/>
      <name val="FreesiaUPC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8"/>
      <color theme="1"/>
      <name val="FreesiaUPC"/>
      <family val="2"/>
    </font>
    <font>
      <b/>
      <sz val="18"/>
      <color rgb="FFFF0000"/>
      <name val="FreesiaUPC"/>
      <family val="2"/>
    </font>
    <font>
      <sz val="10"/>
      <color rgb="FF000000"/>
      <name val="Arial"/>
      <family val="2"/>
    </font>
    <font>
      <b/>
      <sz val="12"/>
      <color theme="1" tint="4.9989318521683403E-2"/>
      <name val="Leelawadee"/>
      <family val="2"/>
    </font>
    <font>
      <sz val="12"/>
      <color theme="1" tint="4.9989318521683403E-2"/>
      <name val="Leelawadee"/>
      <family val="2"/>
    </font>
    <font>
      <sz val="9"/>
      <name val="Leelawadee"/>
      <family val="2"/>
    </font>
    <font>
      <sz val="10"/>
      <name val="Leelawadee"/>
      <family val="2"/>
    </font>
    <font>
      <sz val="10"/>
      <color theme="1"/>
      <name val="Leelawadee"/>
      <family val="2"/>
    </font>
    <font>
      <sz val="11"/>
      <color theme="1"/>
      <name val="Leelawadee"/>
      <family val="2"/>
    </font>
    <font>
      <sz val="9"/>
      <color theme="1"/>
      <name val="Leelawadee"/>
      <family val="2"/>
    </font>
    <font>
      <b/>
      <sz val="14"/>
      <color theme="1"/>
      <name val="Leelawadee"/>
      <family val="2"/>
    </font>
    <font>
      <b/>
      <sz val="11"/>
      <color theme="1"/>
      <name val="Leelawadee"/>
      <family val="2"/>
    </font>
    <font>
      <sz val="12"/>
      <color theme="1"/>
      <name val="Leelawadee"/>
      <family val="2"/>
    </font>
    <font>
      <sz val="11"/>
      <color rgb="FF000000"/>
      <name val="Leelawadee"/>
      <family val="2"/>
    </font>
    <font>
      <b/>
      <sz val="10"/>
      <color theme="1"/>
      <name val="Leelawadee"/>
      <family val="2"/>
    </font>
    <font>
      <sz val="11"/>
      <color theme="0" tint="-4.9989318521683403E-2"/>
      <name val="FreesiaUPC"/>
      <family val="2"/>
    </font>
    <font>
      <sz val="11"/>
      <color theme="1"/>
      <name val="Tahoma"/>
      <family val="2"/>
      <charset val="22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u/>
      <sz val="16"/>
      <color theme="1"/>
      <name val="FreesiaUPC"/>
      <family val="2"/>
    </font>
    <font>
      <b/>
      <sz val="11"/>
      <color rgb="FF000000"/>
      <name val="Arial"/>
      <family val="2"/>
    </font>
    <font>
      <sz val="11"/>
      <color theme="0" tint="-4.9989318521683403E-2"/>
      <name val="Leelawadee"/>
      <family val="2"/>
    </font>
    <font>
      <sz val="20"/>
      <color theme="1"/>
      <name val="FreesiaUPC"/>
      <family val="2"/>
    </font>
    <font>
      <sz val="11"/>
      <color rgb="FF00B050"/>
      <name val="Leelawadee"/>
      <family val="2"/>
    </font>
    <font>
      <sz val="11"/>
      <color rgb="FF00B050"/>
      <name val="FreesiaUPC"/>
      <family val="2"/>
    </font>
    <font>
      <sz val="11"/>
      <color rgb="FF00B050"/>
      <name val="Arial1"/>
      <charset val="222"/>
    </font>
    <font>
      <sz val="9"/>
      <color theme="0" tint="-0.34998626667073579"/>
      <name val="Arial"/>
      <family val="2"/>
    </font>
    <font>
      <sz val="9"/>
      <color rgb="FF000000"/>
      <name val="Arial1"/>
      <charset val="222"/>
    </font>
    <font>
      <sz val="12"/>
      <color rgb="FF000000"/>
      <name val="Leelawadee"/>
      <family val="2"/>
    </font>
    <font>
      <sz val="10"/>
      <color rgb="FF000000"/>
      <name val="Arial1"/>
      <charset val="222"/>
    </font>
    <font>
      <sz val="10"/>
      <color rgb="FF000000"/>
      <name val="Free 3 of 9"/>
      <family val="3"/>
    </font>
    <font>
      <sz val="9"/>
      <color rgb="FFFF0000"/>
      <name val="Arial1"/>
      <charset val="22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1"/>
      <charset val="222"/>
    </font>
    <font>
      <b/>
      <sz val="9"/>
      <color rgb="FFFF0000"/>
      <name val="Arial"/>
      <family val="2"/>
    </font>
    <font>
      <sz val="9"/>
      <name val="Arial1"/>
      <charset val="222"/>
    </font>
    <font>
      <sz val="11"/>
      <color theme="1"/>
      <name val="Arial1"/>
      <charset val="22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hair">
        <color rgb="FF96969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91" fontId="5" fillId="0" borderId="0" applyBorder="0" applyProtection="0"/>
    <xf numFmtId="0" fontId="2" fillId="0" borderId="0" applyBorder="0" applyProtection="0">
      <alignment horizontal="center"/>
    </xf>
    <xf numFmtId="189" fontId="5" fillId="0" borderId="0" applyBorder="0" applyProtection="0"/>
    <xf numFmtId="0" fontId="2" fillId="0" borderId="0" applyBorder="0" applyProtection="0">
      <alignment horizontal="center" textRotation="90"/>
    </xf>
    <xf numFmtId="0" fontId="3" fillId="0" borderId="0" applyBorder="0" applyProtection="0"/>
    <xf numFmtId="0" fontId="4" fillId="0" borderId="0" applyBorder="0" applyProtection="0"/>
    <xf numFmtId="190" fontId="4" fillId="0" borderId="0" applyBorder="0" applyProtection="0"/>
    <xf numFmtId="0" fontId="7" fillId="0" borderId="0"/>
    <xf numFmtId="43" fontId="7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33" fillId="0" borderId="0">
      <alignment vertical="top"/>
    </xf>
    <xf numFmtId="187" fontId="34" fillId="0" borderId="0" applyFont="0" applyFill="0" applyBorder="0" applyAlignment="0" applyProtection="0"/>
    <xf numFmtId="0" fontId="32" fillId="0" borderId="0"/>
    <xf numFmtId="0" fontId="32" fillId="5" borderId="0" applyNumberFormat="0" applyBorder="0" applyAlignment="0" applyProtection="0"/>
    <xf numFmtId="43" fontId="32" fillId="0" borderId="0" applyFont="0" applyFill="0" applyBorder="0" applyAlignment="0" applyProtection="0"/>
    <xf numFmtId="0" fontId="34" fillId="0" borderId="0">
      <alignment vertical="top"/>
    </xf>
  </cellStyleXfs>
  <cellXfs count="224">
    <xf numFmtId="0" fontId="0" fillId="0" borderId="0" xfId="0"/>
    <xf numFmtId="0" fontId="8" fillId="0" borderId="0" xfId="8" applyFont="1"/>
    <xf numFmtId="0" fontId="9" fillId="0" borderId="0" xfId="8" applyFont="1"/>
    <xf numFmtId="0" fontId="10" fillId="0" borderId="0" xfId="8" applyFont="1"/>
    <xf numFmtId="0" fontId="11" fillId="0" borderId="0" xfId="8" applyFont="1"/>
    <xf numFmtId="0" fontId="12" fillId="0" borderId="0" xfId="0" applyFont="1"/>
    <xf numFmtId="0" fontId="16" fillId="0" borderId="0" xfId="8" applyFont="1"/>
    <xf numFmtId="0" fontId="16" fillId="0" borderId="10" xfId="8" applyFont="1" applyBorder="1" applyAlignment="1">
      <alignment horizontal="center"/>
    </xf>
    <xf numFmtId="192" fontId="5" fillId="0" borderId="0" xfId="1" applyNumberFormat="1" applyBorder="1"/>
    <xf numFmtId="0" fontId="16" fillId="0" borderId="0" xfId="8" applyFont="1" applyAlignment="1">
      <alignment horizontal="right"/>
    </xf>
    <xf numFmtId="43" fontId="16" fillId="0" borderId="0" xfId="9" applyFont="1" applyFill="1" applyBorder="1"/>
    <xf numFmtId="0" fontId="17" fillId="0" borderId="0" xfId="8" applyFont="1" applyAlignment="1">
      <alignment horizontal="left"/>
    </xf>
    <xf numFmtId="0" fontId="16" fillId="0" borderId="7" xfId="8" applyFont="1" applyBorder="1" applyAlignment="1">
      <alignment horizontal="left" indent="1"/>
    </xf>
    <xf numFmtId="0" fontId="16" fillId="0" borderId="0" xfId="8" quotePrefix="1" applyFont="1" applyAlignment="1">
      <alignment horizontal="left"/>
    </xf>
    <xf numFmtId="191" fontId="5" fillId="0" borderId="10" xfId="1" applyBorder="1"/>
    <xf numFmtId="0" fontId="19" fillId="0" borderId="0" xfId="0" applyFont="1" applyAlignment="1">
      <alignment vertical="center"/>
    </xf>
    <xf numFmtId="0" fontId="16" fillId="0" borderId="0" xfId="8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188" fontId="21" fillId="0" borderId="0" xfId="0" applyNumberFormat="1" applyFont="1"/>
    <xf numFmtId="188" fontId="22" fillId="0" borderId="0" xfId="0" applyNumberFormat="1" applyFont="1"/>
    <xf numFmtId="188" fontId="23" fillId="0" borderId="0" xfId="0" applyNumberFormat="1" applyFont="1"/>
    <xf numFmtId="188" fontId="24" fillId="0" borderId="0" xfId="0" applyNumberFormat="1" applyFont="1"/>
    <xf numFmtId="188" fontId="25" fillId="0" borderId="0" xfId="0" applyNumberFormat="1" applyFont="1"/>
    <xf numFmtId="188" fontId="23" fillId="0" borderId="0" xfId="0" applyNumberFormat="1" applyFont="1" applyAlignment="1">
      <alignment horizontal="right"/>
    </xf>
    <xf numFmtId="0" fontId="27" fillId="0" borderId="8" xfId="8" applyFont="1" applyBorder="1" applyAlignment="1">
      <alignment horizontal="center" vertical="center" wrapText="1"/>
    </xf>
    <xf numFmtId="0" fontId="24" fillId="0" borderId="0" xfId="8" applyFont="1"/>
    <xf numFmtId="0" fontId="27" fillId="0" borderId="12" xfId="8" applyFont="1" applyBorder="1"/>
    <xf numFmtId="0" fontId="27" fillId="0" borderId="2" xfId="8" applyFont="1" applyBorder="1" applyAlignment="1">
      <alignment horizontal="center" wrapText="1"/>
    </xf>
    <xf numFmtId="0" fontId="27" fillId="0" borderId="12" xfId="8" applyFont="1" applyBorder="1" applyAlignment="1">
      <alignment horizontal="center" wrapText="1"/>
    </xf>
    <xf numFmtId="192" fontId="29" fillId="0" borderId="0" xfId="1" applyNumberFormat="1" applyFont="1" applyBorder="1"/>
    <xf numFmtId="0" fontId="24" fillId="0" borderId="3" xfId="8" applyFont="1" applyBorder="1" applyAlignment="1">
      <alignment horizontal="left"/>
    </xf>
    <xf numFmtId="194" fontId="10" fillId="0" borderId="0" xfId="8" applyNumberFormat="1" applyFont="1"/>
    <xf numFmtId="194" fontId="31" fillId="0" borderId="0" xfId="8" applyNumberFormat="1" applyFont="1"/>
    <xf numFmtId="0" fontId="28" fillId="0" borderId="0" xfId="8" applyFont="1" applyAlignment="1">
      <alignment horizontal="right"/>
    </xf>
    <xf numFmtId="0" fontId="24" fillId="0" borderId="0" xfId="8" applyFont="1" applyAlignment="1">
      <alignment horizontal="left"/>
    </xf>
    <xf numFmtId="0" fontId="27" fillId="0" borderId="0" xfId="8" applyFont="1"/>
    <xf numFmtId="197" fontId="24" fillId="0" borderId="13" xfId="8" applyNumberFormat="1" applyFont="1" applyBorder="1" applyAlignment="1">
      <alignment horizontal="left"/>
    </xf>
    <xf numFmtId="193" fontId="24" fillId="0" borderId="0" xfId="8" applyNumberFormat="1" applyFont="1"/>
    <xf numFmtId="193" fontId="24" fillId="0" borderId="13" xfId="8" applyNumberFormat="1" applyFont="1" applyBorder="1"/>
    <xf numFmtId="0" fontId="16" fillId="0" borderId="5" xfId="8" applyFont="1" applyBorder="1"/>
    <xf numFmtId="0" fontId="16" fillId="0" borderId="6" xfId="8" applyFont="1" applyBorder="1"/>
    <xf numFmtId="0" fontId="16" fillId="0" borderId="7" xfId="8" applyFont="1" applyBorder="1"/>
    <xf numFmtId="0" fontId="30" fillId="0" borderId="12" xfId="0" applyFont="1" applyBorder="1"/>
    <xf numFmtId="0" fontId="24" fillId="0" borderId="12" xfId="8" applyFont="1" applyBorder="1"/>
    <xf numFmtId="0" fontId="10" fillId="0" borderId="12" xfId="8" applyFont="1" applyBorder="1"/>
    <xf numFmtId="0" fontId="24" fillId="0" borderId="6" xfId="8" applyFont="1" applyBorder="1"/>
    <xf numFmtId="0" fontId="24" fillId="0" borderId="0" xfId="8" applyFont="1" applyAlignment="1">
      <alignment horizontal="right"/>
    </xf>
    <xf numFmtId="0" fontId="35" fillId="0" borderId="0" xfId="8" applyFont="1"/>
    <xf numFmtId="0" fontId="28" fillId="0" borderId="0" xfId="8" quotePrefix="1" applyFont="1"/>
    <xf numFmtId="0" fontId="16" fillId="0" borderId="6" xfId="8" applyFont="1" applyBorder="1" applyAlignment="1">
      <alignment horizontal="left" indent="1"/>
    </xf>
    <xf numFmtId="0" fontId="36" fillId="0" borderId="0" xfId="0" applyFont="1"/>
    <xf numFmtId="0" fontId="18" fillId="0" borderId="0" xfId="0" applyFont="1"/>
    <xf numFmtId="196" fontId="18" fillId="0" borderId="0" xfId="0" applyNumberFormat="1" applyFont="1" applyAlignment="1">
      <alignment horizontal="center"/>
    </xf>
    <xf numFmtId="197" fontId="1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96" fontId="15" fillId="0" borderId="0" xfId="0" applyNumberFormat="1" applyFont="1" applyAlignment="1">
      <alignment horizontal="center"/>
    </xf>
    <xf numFmtId="197" fontId="15" fillId="0" borderId="0" xfId="0" applyNumberFormat="1" applyFont="1" applyAlignment="1">
      <alignment horizontal="center"/>
    </xf>
    <xf numFmtId="0" fontId="37" fillId="0" borderId="0" xfId="8" applyFont="1"/>
    <xf numFmtId="0" fontId="38" fillId="0" borderId="0" xfId="8" applyFont="1"/>
    <xf numFmtId="0" fontId="5" fillId="0" borderId="0" xfId="1" applyNumberFormat="1" applyBorder="1"/>
    <xf numFmtId="1" fontId="24" fillId="0" borderId="3" xfId="8" applyNumberFormat="1" applyFont="1" applyBorder="1" applyAlignment="1">
      <alignment horizontal="left"/>
    </xf>
    <xf numFmtId="1" fontId="24" fillId="0" borderId="4" xfId="8" applyNumberFormat="1" applyFont="1" applyBorder="1"/>
    <xf numFmtId="0" fontId="19" fillId="0" borderId="0" xfId="0" quotePrefix="1" applyFont="1" applyAlignment="1">
      <alignment vertical="center"/>
    </xf>
    <xf numFmtId="191" fontId="5" fillId="2" borderId="0" xfId="1" applyFill="1"/>
    <xf numFmtId="0" fontId="40" fillId="0" borderId="0" xfId="8" applyFont="1"/>
    <xf numFmtId="191" fontId="41" fillId="2" borderId="0" xfId="1" applyFont="1" applyFill="1"/>
    <xf numFmtId="0" fontId="39" fillId="2" borderId="0" xfId="8" applyFont="1" applyFill="1"/>
    <xf numFmtId="0" fontId="39" fillId="0" borderId="0" xfId="8" applyFont="1"/>
    <xf numFmtId="0" fontId="39" fillId="3" borderId="0" xfId="8" quotePrefix="1" applyFont="1" applyFill="1"/>
    <xf numFmtId="0" fontId="39" fillId="0" borderId="0" xfId="8" quotePrefix="1" applyFont="1"/>
    <xf numFmtId="198" fontId="13" fillId="7" borderId="15" xfId="1" applyNumberFormat="1" applyFont="1" applyFill="1" applyBorder="1" applyAlignment="1" applyProtection="1">
      <alignment horizontal="center" vertical="center" wrapText="1"/>
    </xf>
    <xf numFmtId="191" fontId="13" fillId="7" borderId="15" xfId="1" applyFont="1" applyFill="1" applyBorder="1" applyAlignment="1" applyProtection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191" fontId="13" fillId="0" borderId="15" xfId="1" applyFont="1" applyBorder="1" applyAlignment="1" applyProtection="1">
      <alignment horizontal="center" vertical="center"/>
    </xf>
    <xf numFmtId="0" fontId="4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7" borderId="15" xfId="0" applyFont="1" applyFill="1" applyBorder="1" applyAlignment="1">
      <alignment horizontal="center" vertical="center"/>
    </xf>
    <xf numFmtId="3" fontId="13" fillId="7" borderId="15" xfId="1" applyNumberFormat="1" applyFont="1" applyFill="1" applyBorder="1" applyAlignment="1" applyProtection="1">
      <alignment horizontal="center" vertical="center"/>
    </xf>
    <xf numFmtId="3" fontId="13" fillId="7" borderId="15" xfId="1" applyNumberFormat="1" applyFont="1" applyFill="1" applyBorder="1" applyAlignment="1" applyProtection="1">
      <alignment horizontal="center" vertical="center" wrapText="1"/>
    </xf>
    <xf numFmtId="0" fontId="4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98" fontId="14" fillId="7" borderId="1" xfId="1" applyNumberFormat="1" applyFont="1" applyFill="1" applyBorder="1" applyAlignment="1" applyProtection="1">
      <alignment horizontal="center"/>
      <protection locked="0"/>
    </xf>
    <xf numFmtId="191" fontId="14" fillId="7" borderId="1" xfId="1" applyFont="1" applyFill="1" applyBorder="1" applyAlignment="1" applyProtection="1">
      <alignment horizontal="center"/>
      <protection locked="0"/>
    </xf>
    <xf numFmtId="200" fontId="14" fillId="6" borderId="1" xfId="0" applyNumberFormat="1" applyFont="1" applyFill="1" applyBorder="1" applyAlignment="1" applyProtection="1">
      <alignment horizontal="left"/>
      <protection locked="0"/>
    </xf>
    <xf numFmtId="0" fontId="14" fillId="0" borderId="1" xfId="0" quotePrefix="1" applyFont="1" applyBorder="1" applyAlignment="1" applyProtection="1">
      <alignment horizontal="left"/>
      <protection locked="0"/>
    </xf>
    <xf numFmtId="191" fontId="14" fillId="0" borderId="1" xfId="1" applyFont="1" applyBorder="1" applyAlignment="1" applyProtection="1">
      <alignment horizontal="left"/>
    </xf>
    <xf numFmtId="0" fontId="13" fillId="7" borderId="1" xfId="0" applyFont="1" applyFill="1" applyBorder="1" applyAlignment="1" applyProtection="1">
      <alignment horizontal="center"/>
      <protection locked="0"/>
    </xf>
    <xf numFmtId="191" fontId="43" fillId="7" borderId="1" xfId="1" applyFont="1" applyFill="1" applyBorder="1" applyProtection="1">
      <protection locked="0"/>
    </xf>
    <xf numFmtId="3" fontId="14" fillId="7" borderId="1" xfId="1" applyNumberFormat="1" applyFont="1" applyFill="1" applyBorder="1" applyAlignment="1" applyProtection="1">
      <alignment horizontal="center"/>
      <protection locked="0"/>
    </xf>
    <xf numFmtId="192" fontId="14" fillId="7" borderId="1" xfId="1" quotePrefix="1" applyNumberFormat="1" applyFont="1" applyFill="1" applyBorder="1" applyAlignment="1" applyProtection="1">
      <alignment horizontal="center"/>
    </xf>
    <xf numFmtId="200" fontId="14" fillId="6" borderId="1" xfId="0" quotePrefix="1" applyNumberFormat="1" applyFont="1" applyFill="1" applyBorder="1" applyAlignment="1" applyProtection="1">
      <alignment horizontal="left"/>
      <protection locked="0"/>
    </xf>
    <xf numFmtId="198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13" fillId="7" borderId="0" xfId="0" applyFont="1" applyFill="1" applyAlignment="1">
      <alignment horizontal="center"/>
    </xf>
    <xf numFmtId="191" fontId="43" fillId="7" borderId="0" xfId="1" applyFont="1" applyFill="1"/>
    <xf numFmtId="3" fontId="14" fillId="7" borderId="0" xfId="0" applyNumberFormat="1" applyFont="1" applyFill="1" applyAlignment="1">
      <alignment horizontal="center"/>
    </xf>
    <xf numFmtId="201" fontId="13" fillId="7" borderId="15" xfId="1" applyNumberFormat="1" applyFont="1" applyFill="1" applyBorder="1" applyAlignment="1" applyProtection="1">
      <alignment horizontal="center" vertical="center" wrapText="1"/>
    </xf>
    <xf numFmtId="201" fontId="14" fillId="7" borderId="1" xfId="1" applyNumberFormat="1" applyFont="1" applyFill="1" applyBorder="1" applyAlignment="1" applyProtection="1">
      <alignment horizontal="center"/>
      <protection locked="0"/>
    </xf>
    <xf numFmtId="201" fontId="14" fillId="7" borderId="0" xfId="0" applyNumberFormat="1" applyFont="1" applyFill="1" applyAlignment="1">
      <alignment horizontal="center"/>
    </xf>
    <xf numFmtId="191" fontId="13" fillId="7" borderId="16" xfId="1" applyFont="1" applyFill="1" applyBorder="1" applyAlignment="1" applyProtection="1">
      <alignment horizontal="center" vertical="center"/>
    </xf>
    <xf numFmtId="0" fontId="14" fillId="7" borderId="0" xfId="0" applyFont="1" applyFill="1" applyProtection="1">
      <protection locked="0"/>
    </xf>
    <xf numFmtId="0" fontId="28" fillId="0" borderId="9" xfId="8" applyFont="1" applyBorder="1" applyAlignment="1">
      <alignment horizontal="center" vertical="center"/>
    </xf>
    <xf numFmtId="0" fontId="28" fillId="0" borderId="2" xfId="8" quotePrefix="1" applyFont="1" applyBorder="1" applyAlignment="1">
      <alignment horizontal="left" vertical="center"/>
    </xf>
    <xf numFmtId="0" fontId="28" fillId="0" borderId="3" xfId="8" quotePrefix="1" applyFont="1" applyBorder="1" applyAlignment="1">
      <alignment horizontal="left" vertical="center"/>
    </xf>
    <xf numFmtId="0" fontId="28" fillId="0" borderId="4" xfId="8" applyFont="1" applyBorder="1" applyAlignment="1">
      <alignment vertical="center"/>
    </xf>
    <xf numFmtId="0" fontId="28" fillId="0" borderId="11" xfId="8" applyFont="1" applyBorder="1" applyAlignment="1">
      <alignment horizontal="center"/>
    </xf>
    <xf numFmtId="191" fontId="44" fillId="0" borderId="11" xfId="1" applyFont="1" applyBorder="1"/>
    <xf numFmtId="0" fontId="28" fillId="0" borderId="12" xfId="8" quotePrefix="1" applyFont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28" fillId="0" borderId="13" xfId="8" applyFont="1" applyBorder="1" applyAlignment="1">
      <alignment vertical="center"/>
    </xf>
    <xf numFmtId="0" fontId="28" fillId="0" borderId="9" xfId="8" applyFont="1" applyBorder="1" applyAlignment="1">
      <alignment horizontal="center"/>
    </xf>
    <xf numFmtId="191" fontId="44" fillId="0" borderId="9" xfId="1" applyFont="1" applyBorder="1"/>
    <xf numFmtId="43" fontId="28" fillId="4" borderId="10" xfId="9" applyFont="1" applyFill="1" applyBorder="1"/>
    <xf numFmtId="191" fontId="44" fillId="4" borderId="8" xfId="1" quotePrefix="1" applyFont="1" applyFill="1" applyBorder="1"/>
    <xf numFmtId="43" fontId="28" fillId="4" borderId="8" xfId="9" applyFont="1" applyFill="1" applyBorder="1"/>
    <xf numFmtId="0" fontId="28" fillId="0" borderId="4" xfId="8" applyFont="1" applyBorder="1"/>
    <xf numFmtId="0" fontId="28" fillId="0" borderId="13" xfId="8" applyFont="1" applyBorder="1"/>
    <xf numFmtId="0" fontId="28" fillId="0" borderId="0" xfId="8" applyFont="1"/>
    <xf numFmtId="191" fontId="43" fillId="0" borderId="1" xfId="1" applyFont="1" applyBorder="1" applyProtection="1">
      <protection locked="0"/>
    </xf>
    <xf numFmtId="191" fontId="43" fillId="0" borderId="0" xfId="1" applyFont="1"/>
    <xf numFmtId="49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99" fontId="45" fillId="0" borderId="0" xfId="1" applyNumberFormat="1" applyFont="1"/>
    <xf numFmtId="191" fontId="45" fillId="0" borderId="0" xfId="1" applyFont="1"/>
    <xf numFmtId="195" fontId="18" fillId="0" borderId="0" xfId="1" applyNumberFormat="1" applyFont="1" applyAlignment="1">
      <alignment horizontal="center"/>
    </xf>
    <xf numFmtId="191" fontId="46" fillId="0" borderId="0" xfId="0" applyNumberFormat="1" applyFont="1"/>
    <xf numFmtId="192" fontId="46" fillId="0" borderId="0" xfId="1" applyNumberFormat="1" applyFont="1" applyAlignment="1">
      <alignment vertical="center"/>
    </xf>
    <xf numFmtId="191" fontId="46" fillId="0" borderId="0" xfId="1" applyFont="1"/>
    <xf numFmtId="200" fontId="18" fillId="0" borderId="0" xfId="0" applyNumberFormat="1" applyFont="1" applyAlignment="1">
      <alignment horizontal="left"/>
    </xf>
    <xf numFmtId="192" fontId="46" fillId="0" borderId="0" xfId="1" applyNumberFormat="1" applyFont="1"/>
    <xf numFmtId="192" fontId="46" fillId="0" borderId="0" xfId="1" applyNumberFormat="1" applyFont="1" applyAlignment="1">
      <alignment horizontal="center"/>
    </xf>
    <xf numFmtId="200" fontId="18" fillId="0" borderId="0" xfId="0" quotePrefix="1" applyNumberFormat="1" applyFont="1" applyAlignment="1">
      <alignment horizontal="left"/>
    </xf>
    <xf numFmtId="192" fontId="18" fillId="0" borderId="0" xfId="1" applyNumberFormat="1" applyFont="1" applyAlignment="1">
      <alignment horizontal="center"/>
    </xf>
    <xf numFmtId="0" fontId="46" fillId="0" borderId="0" xfId="0" applyFont="1"/>
    <xf numFmtId="191" fontId="18" fillId="0" borderId="0" xfId="1" applyFont="1"/>
    <xf numFmtId="195" fontId="45" fillId="0" borderId="0" xfId="1" applyNumberFormat="1" applyFont="1" applyAlignment="1">
      <alignment horizontal="center"/>
    </xf>
    <xf numFmtId="191" fontId="14" fillId="8" borderId="0" xfId="0" applyNumberFormat="1" applyFont="1" applyFill="1" applyAlignment="1">
      <alignment horizontal="center" vertical="center"/>
    </xf>
    <xf numFmtId="192" fontId="18" fillId="0" borderId="0" xfId="1" applyNumberFormat="1" applyFont="1"/>
    <xf numFmtId="1" fontId="18" fillId="7" borderId="0" xfId="0" applyNumberFormat="1" applyFont="1" applyFill="1" applyAlignment="1">
      <alignment horizontal="left"/>
    </xf>
    <xf numFmtId="0" fontId="18" fillId="7" borderId="0" xfId="0" applyFont="1" applyFill="1"/>
    <xf numFmtId="0" fontId="18" fillId="7" borderId="0" xfId="0" applyFont="1" applyFill="1" applyAlignment="1">
      <alignment horizontal="left"/>
    </xf>
    <xf numFmtId="191" fontId="45" fillId="7" borderId="0" xfId="1" applyFont="1" applyFill="1"/>
    <xf numFmtId="199" fontId="45" fillId="7" borderId="0" xfId="1" applyNumberFormat="1" applyFont="1" applyFill="1"/>
    <xf numFmtId="191" fontId="47" fillId="7" borderId="1" xfId="1" applyFont="1" applyFill="1" applyBorder="1" applyProtection="1">
      <protection locked="0"/>
    </xf>
    <xf numFmtId="201" fontId="14" fillId="9" borderId="1" xfId="1" applyNumberFormat="1" applyFont="1" applyFill="1" applyBorder="1" applyAlignment="1" applyProtection="1">
      <alignment horizontal="center"/>
      <protection locked="0"/>
    </xf>
    <xf numFmtId="0" fontId="48" fillId="0" borderId="0" xfId="0" applyFont="1"/>
    <xf numFmtId="0" fontId="49" fillId="0" borderId="0" xfId="0" applyFont="1" applyAlignment="1">
      <alignment horizontal="left"/>
    </xf>
    <xf numFmtId="201" fontId="50" fillId="7" borderId="1" xfId="1" applyNumberFormat="1" applyFont="1" applyFill="1" applyBorder="1" applyAlignment="1" applyProtection="1">
      <alignment horizontal="center"/>
      <protection locked="0"/>
    </xf>
    <xf numFmtId="191" fontId="5" fillId="0" borderId="0" xfId="1"/>
    <xf numFmtId="198" fontId="49" fillId="7" borderId="1" xfId="1" applyNumberFormat="1" applyFont="1" applyFill="1" applyBorder="1" applyAlignment="1" applyProtection="1">
      <alignment horizontal="center"/>
      <protection locked="0"/>
    </xf>
    <xf numFmtId="201" fontId="49" fillId="7" borderId="1" xfId="1" applyNumberFormat="1" applyFont="1" applyFill="1" applyBorder="1" applyAlignment="1" applyProtection="1">
      <alignment horizontal="center"/>
      <protection locked="0"/>
    </xf>
    <xf numFmtId="191" fontId="49" fillId="7" borderId="1" xfId="1" applyFont="1" applyFill="1" applyBorder="1" applyAlignment="1" applyProtection="1">
      <alignment horizontal="center"/>
      <protection locked="0"/>
    </xf>
    <xf numFmtId="200" fontId="49" fillId="6" borderId="1" xfId="0" applyNumberFormat="1" applyFont="1" applyFill="1" applyBorder="1" applyAlignment="1" applyProtection="1">
      <alignment horizontal="left"/>
      <protection locked="0"/>
    </xf>
    <xf numFmtId="198" fontId="51" fillId="7" borderId="1" xfId="1" applyNumberFormat="1" applyFont="1" applyFill="1" applyBorder="1" applyAlignment="1" applyProtection="1">
      <alignment horizontal="center"/>
      <protection locked="0"/>
    </xf>
    <xf numFmtId="201" fontId="51" fillId="7" borderId="1" xfId="1" applyNumberFormat="1" applyFont="1" applyFill="1" applyBorder="1" applyAlignment="1" applyProtection="1">
      <alignment horizontal="center"/>
      <protection locked="0"/>
    </xf>
    <xf numFmtId="191" fontId="51" fillId="7" borderId="1" xfId="1" applyFont="1" applyFill="1" applyBorder="1" applyAlignment="1" applyProtection="1">
      <alignment horizontal="center"/>
      <protection locked="0"/>
    </xf>
    <xf numFmtId="200" fontId="51" fillId="6" borderId="1" xfId="0" applyNumberFormat="1" applyFont="1" applyFill="1" applyBorder="1" applyAlignment="1" applyProtection="1">
      <alignment horizontal="left"/>
      <protection locked="0"/>
    </xf>
    <xf numFmtId="0" fontId="51" fillId="0" borderId="1" xfId="0" quotePrefix="1" applyFont="1" applyBorder="1" applyAlignment="1" applyProtection="1">
      <alignment horizontal="left"/>
      <protection locked="0"/>
    </xf>
    <xf numFmtId="191" fontId="51" fillId="0" borderId="1" xfId="1" applyFont="1" applyBorder="1" applyAlignment="1" applyProtection="1">
      <alignment horizontal="left"/>
    </xf>
    <xf numFmtId="0" fontId="52" fillId="7" borderId="1" xfId="0" applyFont="1" applyFill="1" applyBorder="1" applyAlignment="1" applyProtection="1">
      <alignment horizontal="center"/>
      <protection locked="0"/>
    </xf>
    <xf numFmtId="191" fontId="53" fillId="0" borderId="1" xfId="1" applyFont="1" applyBorder="1" applyProtection="1">
      <protection locked="0"/>
    </xf>
    <xf numFmtId="191" fontId="53" fillId="7" borderId="1" xfId="1" applyFont="1" applyFill="1" applyBorder="1" applyProtection="1">
      <protection locked="0"/>
    </xf>
    <xf numFmtId="3" fontId="51" fillId="7" borderId="1" xfId="1" applyNumberFormat="1" applyFont="1" applyFill="1" applyBorder="1" applyAlignment="1" applyProtection="1">
      <alignment horizontal="center"/>
      <protection locked="0"/>
    </xf>
    <xf numFmtId="192" fontId="51" fillId="7" borderId="1" xfId="1" quotePrefix="1" applyNumberFormat="1" applyFont="1" applyFill="1" applyBorder="1" applyAlignment="1" applyProtection="1">
      <alignment horizont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/>
    <xf numFmtId="187" fontId="10" fillId="0" borderId="0" xfId="8" applyNumberFormat="1" applyFont="1"/>
    <xf numFmtId="0" fontId="49" fillId="0" borderId="0" xfId="0" applyFont="1" applyAlignment="1">
      <alignment horizontal="center"/>
    </xf>
    <xf numFmtId="0" fontId="49" fillId="0" borderId="1" xfId="0" quotePrefix="1" applyFont="1" applyBorder="1" applyAlignment="1" applyProtection="1">
      <alignment horizontal="left"/>
      <protection locked="0"/>
    </xf>
    <xf numFmtId="191" fontId="49" fillId="0" borderId="1" xfId="1" applyFont="1" applyBorder="1" applyAlignment="1" applyProtection="1">
      <alignment horizontal="left"/>
    </xf>
    <xf numFmtId="0" fontId="54" fillId="7" borderId="1" xfId="0" applyFont="1" applyFill="1" applyBorder="1" applyAlignment="1" applyProtection="1">
      <alignment horizontal="center"/>
      <protection locked="0"/>
    </xf>
    <xf numFmtId="191" fontId="47" fillId="0" borderId="1" xfId="1" applyFont="1" applyBorder="1" applyProtection="1">
      <protection locked="0"/>
    </xf>
    <xf numFmtId="3" fontId="49" fillId="7" borderId="1" xfId="1" applyNumberFormat="1" applyFont="1" applyFill="1" applyBorder="1" applyAlignment="1" applyProtection="1">
      <alignment horizontal="center"/>
      <protection locked="0"/>
    </xf>
    <xf numFmtId="192" fontId="49" fillId="7" borderId="1" xfId="1" quotePrefix="1" applyNumberFormat="1" applyFont="1" applyFill="1" applyBorder="1" applyAlignment="1" applyProtection="1">
      <alignment horizontal="center"/>
    </xf>
    <xf numFmtId="191" fontId="47" fillId="0" borderId="0" xfId="1" applyFont="1"/>
    <xf numFmtId="0" fontId="49" fillId="0" borderId="0" xfId="0" applyFont="1"/>
    <xf numFmtId="187" fontId="24" fillId="0" borderId="0" xfId="8" applyNumberFormat="1" applyFont="1"/>
    <xf numFmtId="191" fontId="53" fillId="0" borderId="0" xfId="1" applyFont="1"/>
    <xf numFmtId="201" fontId="49" fillId="9" borderId="1" xfId="1" applyNumberFormat="1" applyFont="1" applyFill="1" applyBorder="1" applyAlignment="1" applyProtection="1">
      <alignment horizontal="center"/>
      <protection locked="0"/>
    </xf>
    <xf numFmtId="191" fontId="50" fillId="7" borderId="1" xfId="1" applyFont="1" applyFill="1" applyBorder="1" applyAlignment="1" applyProtection="1">
      <alignment horizontal="center"/>
      <protection locked="0"/>
    </xf>
    <xf numFmtId="200" fontId="50" fillId="6" borderId="1" xfId="0" applyNumberFormat="1" applyFont="1" applyFill="1" applyBorder="1" applyAlignment="1" applyProtection="1">
      <alignment horizontal="left"/>
      <protection locked="0"/>
    </xf>
    <xf numFmtId="0" fontId="50" fillId="0" borderId="1" xfId="0" quotePrefix="1" applyFont="1" applyBorder="1" applyAlignment="1" applyProtection="1">
      <alignment horizontal="left"/>
      <protection locked="0"/>
    </xf>
    <xf numFmtId="191" fontId="50" fillId="0" borderId="1" xfId="1" applyFont="1" applyBorder="1" applyAlignment="1" applyProtection="1">
      <alignment horizontal="left"/>
    </xf>
    <xf numFmtId="191" fontId="55" fillId="0" borderId="1" xfId="1" applyFont="1" applyBorder="1" applyProtection="1">
      <protection locked="0"/>
    </xf>
    <xf numFmtId="191" fontId="55" fillId="7" borderId="1" xfId="1" applyFont="1" applyFill="1" applyBorder="1" applyProtection="1">
      <protection locked="0"/>
    </xf>
    <xf numFmtId="3" fontId="50" fillId="7" borderId="1" xfId="1" applyNumberFormat="1" applyFont="1" applyFill="1" applyBorder="1" applyAlignment="1" applyProtection="1">
      <alignment horizontal="center"/>
      <protection locked="0"/>
    </xf>
    <xf numFmtId="192" fontId="50" fillId="7" borderId="1" xfId="1" quotePrefix="1" applyNumberFormat="1" applyFont="1" applyFill="1" applyBorder="1" applyAlignment="1" applyProtection="1">
      <alignment horizontal="center"/>
    </xf>
    <xf numFmtId="0" fontId="50" fillId="0" borderId="0" xfId="0" applyFont="1" applyAlignment="1">
      <alignment horizontal="center"/>
    </xf>
    <xf numFmtId="191" fontId="55" fillId="0" borderId="0" xfId="1" applyFont="1"/>
    <xf numFmtId="0" fontId="50" fillId="0" borderId="0" xfId="0" applyFont="1" applyAlignment="1">
      <alignment horizontal="left"/>
    </xf>
    <xf numFmtId="0" fontId="50" fillId="0" borderId="0" xfId="0" applyFont="1"/>
    <xf numFmtId="201" fontId="50" fillId="9" borderId="1" xfId="1" applyNumberFormat="1" applyFont="1" applyFill="1" applyBorder="1" applyAlignment="1" applyProtection="1">
      <alignment horizontal="center"/>
      <protection locked="0"/>
    </xf>
    <xf numFmtId="39" fontId="14" fillId="0" borderId="0" xfId="0" applyNumberFormat="1" applyFont="1" applyAlignment="1">
      <alignment horizontal="center" vertical="center"/>
    </xf>
    <xf numFmtId="201" fontId="51" fillId="9" borderId="1" xfId="1" applyNumberFormat="1" applyFont="1" applyFill="1" applyBorder="1" applyAlignment="1" applyProtection="1">
      <alignment horizontal="center"/>
      <protection locked="0"/>
    </xf>
    <xf numFmtId="191" fontId="56" fillId="0" borderId="0" xfId="1" applyFont="1"/>
    <xf numFmtId="201" fontId="14" fillId="7" borderId="1" xfId="1" quotePrefix="1" applyNumberFormat="1" applyFont="1" applyFill="1" applyBorder="1" applyAlignment="1" applyProtection="1">
      <alignment horizontal="center"/>
      <protection locked="0"/>
    </xf>
    <xf numFmtId="191" fontId="54" fillId="7" borderId="15" xfId="1" applyFont="1" applyFill="1" applyBorder="1" applyAlignment="1" applyProtection="1">
      <alignment horizontal="center" vertical="center" wrapText="1"/>
    </xf>
    <xf numFmtId="0" fontId="28" fillId="0" borderId="3" xfId="8" quotePrefix="1" applyFont="1" applyBorder="1" applyAlignment="1">
      <alignment horizontal="left" vertical="center"/>
    </xf>
    <xf numFmtId="0" fontId="27" fillId="0" borderId="2" xfId="8" applyFont="1" applyBorder="1" applyAlignment="1">
      <alignment horizontal="left" wrapText="1"/>
    </xf>
    <xf numFmtId="0" fontId="27" fillId="0" borderId="3" xfId="8" applyFont="1" applyBorder="1" applyAlignment="1">
      <alignment horizontal="left" wrapText="1"/>
    </xf>
    <xf numFmtId="0" fontId="24" fillId="0" borderId="0" xfId="8" applyFont="1" applyAlignment="1">
      <alignment horizontal="left"/>
    </xf>
    <xf numFmtId="0" fontId="24" fillId="0" borderId="13" xfId="8" applyFont="1" applyBorder="1" applyAlignment="1">
      <alignment horizontal="left"/>
    </xf>
    <xf numFmtId="194" fontId="24" fillId="0" borderId="0" xfId="8" applyNumberFormat="1" applyFont="1" applyAlignment="1">
      <alignment horizontal="left"/>
    </xf>
    <xf numFmtId="194" fontId="24" fillId="0" borderId="13" xfId="8" applyNumberFormat="1" applyFont="1" applyBorder="1" applyAlignment="1">
      <alignment horizontal="left"/>
    </xf>
    <xf numFmtId="196" fontId="24" fillId="0" borderId="0" xfId="8" applyNumberFormat="1" applyFont="1" applyAlignment="1">
      <alignment horizontal="left"/>
    </xf>
    <xf numFmtId="0" fontId="27" fillId="0" borderId="18" xfId="8" applyFont="1" applyBorder="1" applyAlignment="1">
      <alignment horizontal="center" vertical="center" wrapText="1"/>
    </xf>
    <xf numFmtId="0" fontId="27" fillId="0" borderId="19" xfId="8" applyFont="1" applyBorder="1" applyAlignment="1">
      <alignment horizontal="center" vertical="center" wrapText="1"/>
    </xf>
    <xf numFmtId="0" fontId="27" fillId="0" borderId="20" xfId="8" applyFont="1" applyBorder="1" applyAlignment="1">
      <alignment horizontal="center" vertical="center" wrapText="1"/>
    </xf>
    <xf numFmtId="0" fontId="28" fillId="0" borderId="0" xfId="8" quotePrefix="1" applyFont="1" applyAlignment="1">
      <alignment horizontal="left" vertical="center"/>
    </xf>
    <xf numFmtId="0" fontId="16" fillId="0" borderId="5" xfId="8" applyFont="1" applyBorder="1" applyAlignment="1">
      <alignment horizontal="left" indent="1"/>
    </xf>
    <xf numFmtId="0" fontId="16" fillId="0" borderId="6" xfId="8" applyFont="1" applyBorder="1" applyAlignment="1">
      <alignment horizontal="left" indent="1"/>
    </xf>
    <xf numFmtId="0" fontId="24" fillId="0" borderId="18" xfId="8" applyFont="1" applyBorder="1" applyAlignment="1">
      <alignment horizontal="center" vertical="center" wrapText="1"/>
    </xf>
    <xf numFmtId="0" fontId="10" fillId="0" borderId="20" xfId="8" applyFont="1" applyBorder="1" applyAlignment="1">
      <alignment horizontal="center" vertical="center"/>
    </xf>
    <xf numFmtId="0" fontId="26" fillId="1" borderId="18" xfId="8" applyFont="1" applyFill="1" applyBorder="1" applyAlignment="1">
      <alignment horizontal="center" vertical="center" wrapText="1"/>
    </xf>
    <xf numFmtId="0" fontId="26" fillId="1" borderId="19" xfId="8" applyFont="1" applyFill="1" applyBorder="1" applyAlignment="1">
      <alignment horizontal="center" vertical="center" wrapText="1"/>
    </xf>
    <xf numFmtId="0" fontId="26" fillId="1" borderId="20" xfId="8" applyFont="1" applyFill="1" applyBorder="1" applyAlignment="1">
      <alignment horizontal="center" vertical="center" wrapText="1"/>
    </xf>
    <xf numFmtId="1" fontId="24" fillId="0" borderId="3" xfId="8" applyNumberFormat="1" applyFont="1" applyBorder="1" applyAlignment="1">
      <alignment horizontal="left"/>
    </xf>
    <xf numFmtId="1" fontId="24" fillId="0" borderId="4" xfId="8" applyNumberFormat="1" applyFont="1" applyBorder="1" applyAlignment="1">
      <alignment horizontal="left"/>
    </xf>
  </cellXfs>
  <cellStyles count="19">
    <cellStyle name="20% - Accent2 2" xfId="16" xr:uid="{5343D9C0-06F4-4991-830B-9BE48A867313}"/>
    <cellStyle name="Comma 2" xfId="3" xr:uid="{00000000-0005-0000-0000-000007000000}"/>
    <cellStyle name="Comma 2 2" xfId="17" xr:uid="{2053ED1D-16A0-454A-9576-985987B9D8FE}"/>
    <cellStyle name="Comma 2 3" xfId="12" xr:uid="{CEF4DF60-46FE-4D87-97AB-F98F4B3379EB}"/>
    <cellStyle name="Comma 3" xfId="9" xr:uid="{4A96A18B-323A-4664-87F6-ACBA53F3C7C3}"/>
    <cellStyle name="Comma 3 2" xfId="14" xr:uid="{21BCEFFA-95CE-4B77-85B7-8B20D92627EB}"/>
    <cellStyle name="Comma 4" xfId="11" xr:uid="{B08E1729-CD7F-4560-BC3B-FD367B507BD3}"/>
    <cellStyle name="Normal 2" xfId="5" xr:uid="{00000000-0005-0000-0000-000009000000}"/>
    <cellStyle name="Normal 2 2" xfId="18" xr:uid="{8896461B-5B92-4E26-BEB1-245142DBD73F}"/>
    <cellStyle name="Normal 2 3" xfId="15" xr:uid="{83151D25-2430-452C-8E11-521EA447CE9D}"/>
    <cellStyle name="Normal 3" xfId="8" xr:uid="{CEEAC6E9-5ED4-4E3B-910F-FDB14091BEAC}"/>
    <cellStyle name="Normal 3 2" xfId="13" xr:uid="{3B09794C-CFB5-40E4-BF34-BAF32D0113D8}"/>
    <cellStyle name="Normal 4" xfId="10" xr:uid="{4C240075-FA69-4FA0-8448-FA6776020962}"/>
    <cellStyle name="จุลภาค" xfId="1" builtinId="3"/>
    <cellStyle name="ปกติ" xfId="0" builtinId="0"/>
    <cellStyle name="ผลลัพธ์" xfId="6" xr:uid="{00000000-0005-0000-0000-00000A000000}"/>
    <cellStyle name="ผลลัพธ์2" xfId="7" xr:uid="{00000000-0005-0000-0000-00000B000000}"/>
    <cellStyle name="หัวเรื่อง" xfId="2" xr:uid="{00000000-0005-0000-0000-000006000000}"/>
    <cellStyle name="หัวเรื่อง1" xfId="4" xr:uid="{00000000-0005-0000-0000-000008000000}"/>
  </cellStyles>
  <dxfs count="102"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2" formatCode="#,##0\ ;\-#,##0\ ;\-#\ ;@\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</font>
      <numFmt numFmtId="199" formatCode="#,##0.00\ ;\-#,##0.00\ ;\-#.0\ ;@\ 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9F4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29883</xdr:colOff>
      <xdr:row>0</xdr:row>
      <xdr:rowOff>0</xdr:rowOff>
    </xdr:from>
    <xdr:to>
      <xdr:col>1</xdr:col>
      <xdr:colOff>1277619</xdr:colOff>
      <xdr:row>2</xdr:row>
      <xdr:rowOff>97118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A383B-1505-4818-AA36-88A4736B6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/>
        <a:stretch/>
      </xdr:blipFill>
      <xdr:spPr>
        <a:xfrm>
          <a:off x="29883" y="0"/>
          <a:ext cx="1777326" cy="766408"/>
        </a:xfrm>
        <a:prstGeom prst="rect">
          <a:avLst/>
        </a:prstGeom>
      </xdr:spPr>
    </xdr:pic>
    <xdr:clientData/>
  </xdr:twoCellAnchor>
  <xdr:twoCellAnchor>
    <xdr:from>
      <xdr:col>1</xdr:col>
      <xdr:colOff>336176</xdr:colOff>
      <xdr:row>31</xdr:row>
      <xdr:rowOff>0</xdr:rowOff>
    </xdr:from>
    <xdr:to>
      <xdr:col>3</xdr:col>
      <xdr:colOff>537882</xdr:colOff>
      <xdr:row>31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546AB4-D25C-4D25-87FC-D302A9AFC302}"/>
            </a:ext>
          </a:extLst>
        </xdr:cNvPr>
        <xdr:cNvCxnSpPr/>
      </xdr:nvCxnSpPr>
      <xdr:spPr>
        <a:xfrm flipV="1">
          <a:off x="869576" y="7804150"/>
          <a:ext cx="2252756" cy="747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-1</xdr:rowOff>
    </xdr:from>
    <xdr:to>
      <xdr:col>3</xdr:col>
      <xdr:colOff>1210234</xdr:colOff>
      <xdr:row>10</xdr:row>
      <xdr:rowOff>-1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9D739F2-55B1-467D-BCEE-BDBA0F0CB906}"/>
            </a:ext>
          </a:extLst>
        </xdr:cNvPr>
        <xdr:cNvCxnSpPr/>
      </xdr:nvCxnSpPr>
      <xdr:spPr>
        <a:xfrm>
          <a:off x="2082800" y="2527299"/>
          <a:ext cx="17118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-1</xdr:rowOff>
    </xdr:from>
    <xdr:to>
      <xdr:col>5</xdr:col>
      <xdr:colOff>1710764</xdr:colOff>
      <xdr:row>10</xdr:row>
      <xdr:rowOff>-1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658C1A8-B9F9-49D6-9B23-715276404990}"/>
            </a:ext>
          </a:extLst>
        </xdr:cNvPr>
        <xdr:cNvCxnSpPr/>
      </xdr:nvCxnSpPr>
      <xdr:spPr>
        <a:xfrm>
          <a:off x="5492750" y="2527299"/>
          <a:ext cx="17107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33617</xdr:colOff>
      <xdr:row>8</xdr:row>
      <xdr:rowOff>22412</xdr:rowOff>
    </xdr:from>
    <xdr:to>
      <xdr:col>8</xdr:col>
      <xdr:colOff>671792</xdr:colOff>
      <xdr:row>8</xdr:row>
      <xdr:rowOff>22412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5E8F94-502F-412F-9953-E70162A5A9BD}"/>
            </a:ext>
          </a:extLst>
        </xdr:cNvPr>
        <xdr:cNvCxnSpPr/>
      </xdr:nvCxnSpPr>
      <xdr:spPr>
        <a:xfrm>
          <a:off x="10578352" y="2017059"/>
          <a:ext cx="17139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261470</xdr:rowOff>
    </xdr:from>
    <xdr:to>
      <xdr:col>8</xdr:col>
      <xdr:colOff>635000</xdr:colOff>
      <xdr:row>8</xdr:row>
      <xdr:rowOff>261470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47891A1-66B9-4C2B-9C4F-1A5BFC3DC66B}"/>
            </a:ext>
          </a:extLst>
        </xdr:cNvPr>
        <xdr:cNvCxnSpPr/>
      </xdr:nvCxnSpPr>
      <xdr:spPr>
        <a:xfrm>
          <a:off x="10528300" y="226807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158751</xdr:rowOff>
    </xdr:from>
    <xdr:to>
      <xdr:col>8</xdr:col>
      <xdr:colOff>1005417</xdr:colOff>
      <xdr:row>36</xdr:row>
      <xdr:rowOff>158751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5AFAAC9-1688-4239-A318-C4339625BA03}"/>
            </a:ext>
          </a:extLst>
        </xdr:cNvPr>
        <xdr:cNvCxnSpPr/>
      </xdr:nvCxnSpPr>
      <xdr:spPr>
        <a:xfrm>
          <a:off x="0" y="9607551"/>
          <a:ext cx="12606867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29883</xdr:colOff>
      <xdr:row>37</xdr:row>
      <xdr:rowOff>0</xdr:rowOff>
    </xdr:from>
    <xdr:ext cx="1769283" cy="763868"/>
    <xdr:pic>
      <xdr:nvPicPr>
        <xdr:cNvPr id="11" name="Picture 10">
          <a:extLst>
            <a:ext uri="{FF2B5EF4-FFF2-40B4-BE49-F238E27FC236}">
              <a16:creationId xmlns:a16="http://schemas.microsoft.com/office/drawing/2014/main" id="{CF1AD306-6BD9-4B1B-9FAC-75F0DBEB1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/>
        <a:stretch/>
      </xdr:blipFill>
      <xdr:spPr>
        <a:xfrm>
          <a:off x="29883" y="9766300"/>
          <a:ext cx="1769283" cy="763868"/>
        </a:xfrm>
        <a:prstGeom prst="rect">
          <a:avLst/>
        </a:prstGeom>
      </xdr:spPr>
    </xdr:pic>
    <xdr:clientData/>
  </xdr:oneCellAnchor>
  <xdr:twoCellAnchor>
    <xdr:from>
      <xdr:col>1</xdr:col>
      <xdr:colOff>336176</xdr:colOff>
      <xdr:row>68</xdr:row>
      <xdr:rowOff>0</xdr:rowOff>
    </xdr:from>
    <xdr:to>
      <xdr:col>3</xdr:col>
      <xdr:colOff>537882</xdr:colOff>
      <xdr:row>68</xdr:row>
      <xdr:rowOff>7471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25D553E-7E3F-4190-A367-B4461FC0AF41}"/>
            </a:ext>
          </a:extLst>
        </xdr:cNvPr>
        <xdr:cNvCxnSpPr/>
      </xdr:nvCxnSpPr>
      <xdr:spPr>
        <a:xfrm flipV="1">
          <a:off x="869576" y="17367250"/>
          <a:ext cx="2252756" cy="747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20806</xdr:colOff>
      <xdr:row>45</xdr:row>
      <xdr:rowOff>0</xdr:rowOff>
    </xdr:from>
    <xdr:to>
      <xdr:col>5</xdr:col>
      <xdr:colOff>4401134</xdr:colOff>
      <xdr:row>45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57739C6-7A20-41ED-BE61-47DF7548A8BB}"/>
            </a:ext>
          </a:extLst>
        </xdr:cNvPr>
        <xdr:cNvCxnSpPr/>
      </xdr:nvCxnSpPr>
      <xdr:spPr>
        <a:xfrm>
          <a:off x="2103606" y="11734800"/>
          <a:ext cx="7504528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6594</xdr:colOff>
      <xdr:row>46</xdr:row>
      <xdr:rowOff>16298</xdr:rowOff>
    </xdr:from>
    <xdr:to>
      <xdr:col>5</xdr:col>
      <xdr:colOff>4385017</xdr:colOff>
      <xdr:row>46</xdr:row>
      <xdr:rowOff>16298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B9C5857-011B-4183-A54E-F3BC599EBD15}"/>
            </a:ext>
          </a:extLst>
        </xdr:cNvPr>
        <xdr:cNvCxnSpPr/>
      </xdr:nvCxnSpPr>
      <xdr:spPr>
        <a:xfrm>
          <a:off x="2089394" y="11998748"/>
          <a:ext cx="751532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-1</xdr:rowOff>
    </xdr:from>
    <xdr:to>
      <xdr:col>3</xdr:col>
      <xdr:colOff>1210234</xdr:colOff>
      <xdr:row>47</xdr:row>
      <xdr:rowOff>-1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E989E9-EC0F-4944-8DBF-CBFF44EBA285}"/>
            </a:ext>
          </a:extLst>
        </xdr:cNvPr>
        <xdr:cNvCxnSpPr/>
      </xdr:nvCxnSpPr>
      <xdr:spPr>
        <a:xfrm>
          <a:off x="2082800" y="12230099"/>
          <a:ext cx="17118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-1</xdr:rowOff>
    </xdr:from>
    <xdr:to>
      <xdr:col>5</xdr:col>
      <xdr:colOff>1710764</xdr:colOff>
      <xdr:row>47</xdr:row>
      <xdr:rowOff>-1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9A86DBB-CE3E-4ED4-A137-9B3E3BC24556}"/>
            </a:ext>
          </a:extLst>
        </xdr:cNvPr>
        <xdr:cNvCxnSpPr/>
      </xdr:nvCxnSpPr>
      <xdr:spPr>
        <a:xfrm>
          <a:off x="5492750" y="12230099"/>
          <a:ext cx="17107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4087177</xdr:colOff>
      <xdr:row>32</xdr:row>
      <xdr:rowOff>314549</xdr:rowOff>
    </xdr:from>
    <xdr:to>
      <xdr:col>8</xdr:col>
      <xdr:colOff>1059184</xdr:colOff>
      <xdr:row>36</xdr:row>
      <xdr:rowOff>201531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EF1E875-A078-449F-BABE-5C5E7637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8059" y="8427608"/>
          <a:ext cx="3082949" cy="121674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8</xdr:col>
      <xdr:colOff>635000</xdr:colOff>
      <xdr:row>45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C48030C-9DA4-47E7-A27C-3840139AD4D2}"/>
            </a:ext>
          </a:extLst>
        </xdr:cNvPr>
        <xdr:cNvCxnSpPr/>
      </xdr:nvCxnSpPr>
      <xdr:spPr>
        <a:xfrm>
          <a:off x="10528300" y="1173480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10580</xdr:colOff>
      <xdr:row>69</xdr:row>
      <xdr:rowOff>305557</xdr:rowOff>
    </xdr:from>
    <xdr:to>
      <xdr:col>9</xdr:col>
      <xdr:colOff>2793</xdr:colOff>
      <xdr:row>74</xdr:row>
      <xdr:rowOff>58868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6F0667-84F7-4277-8858-4588FA11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8130" y="17990307"/>
          <a:ext cx="3059263" cy="117952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261470</xdr:rowOff>
    </xdr:from>
    <xdr:to>
      <xdr:col>8</xdr:col>
      <xdr:colOff>635000</xdr:colOff>
      <xdr:row>45</xdr:row>
      <xdr:rowOff>261470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9F9C501-2F66-4ECA-8E77-8FED3DEBFEE9}"/>
            </a:ext>
          </a:extLst>
        </xdr:cNvPr>
        <xdr:cNvCxnSpPr/>
      </xdr:nvCxnSpPr>
      <xdr:spPr>
        <a:xfrm>
          <a:off x="10528300" y="1198357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LPJARIY\AppData\Roaming\Microsoft\Excel\2024%20ARCHITECT%20FAIR%20PLAN%2002%20Apr%202024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ld)"/>
      <sheetName val="Summary Architect Item List"/>
      <sheetName val="Incomplete Product"/>
      <sheetName val="Display"/>
      <sheetName val="Add Item to RSV 14Mar24"/>
      <sheetName val="RSV"/>
      <sheetName val="Zones"/>
      <sheetName val="Equipment in Storage Room"/>
      <sheetName val="List for Architect"/>
      <sheetName val="HPC List"/>
      <sheetName val="HPC TH List"/>
      <sheetName val="Hub Sample List"/>
      <sheetName val="PRD Storage List"/>
      <sheetName val="TH List"/>
      <sheetName val="Move 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794809-011D-4267-B3BE-F237192CEF23}" name="ProductMaster_iPST_iPower" displayName="ProductMaster_iPST_iPower" ref="A1:I399" totalsRowShown="0" headerRowDxfId="101" dataDxfId="100">
  <autoFilter ref="A1:I399" xr:uid="{EEA3E56E-4F40-4E61-BFDE-BDD1967D7538}">
    <filterColumn colId="2">
      <filters>
        <filter val="M18 FSAGV100XB-0X0"/>
      </filters>
    </filterColumn>
  </autoFilter>
  <tableColumns count="9">
    <tableColumn id="2" xr3:uid="{8D4A4570-0448-49B9-9C25-62FC532F3D48}" name="UPC" dataDxfId="99"/>
    <tableColumn id="3" xr3:uid="{9CF4E2FD-9863-4A40-99DB-F8AD7823E999}" name="SKU" dataDxfId="98"/>
    <tableColumn id="1" xr3:uid="{F652193A-B557-45A5-A612-3BB44B2145B4}" name="Model Name" dataDxfId="97"/>
    <tableColumn id="6" xr3:uid="{4032B7D6-B47A-451F-8669-777E90DCCACA}" name="Description" dataDxfId="96"/>
    <tableColumn id="8" xr3:uid="{92EAB68D-2E99-491E-8DCB-6DB54BDA8075}" name="ProductGroup" dataDxfId="95"/>
    <tableColumn id="4" xr3:uid="{AD7F7297-DD79-472C-8809-CEBDFA49268B}" name="Support From" dataDxfId="94"/>
    <tableColumn id="7" xr3:uid="{91515528-B7D3-4787-95AA-969C7231D2A1}" name="SellPrice (Exc. VAT)" dataDxfId="93">
      <calculatedColumnFormula>(ProductMaster_iPST_iPower[[#This Row],[SellPrice (Inc. VAT)]]*100)/107</calculatedColumnFormula>
    </tableColumn>
    <tableColumn id="5" xr3:uid="{2E0143DC-D464-4124-99D6-7632875D1F7A}" name="SellPrice (Inc. VAT)" dataDxfId="92">
      <calculatedColumnFormula>VLOOKUP(ProductMaster_iPST_iPower[[#This Row],[SKU]],[1]Display!$A:$R,18,0)</calculatedColumnFormula>
    </tableColumn>
    <tableColumn id="16" xr3:uid="{425A3D2D-EA29-4CC1-AEC0-E1AFD657D0AE}" name="Barcode" dataDxfId="91">
      <calculatedColumnFormula>L2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43D52-5867-4303-A88F-ADFBCB34C44F}" name="Table1" displayName="Table1" ref="A1:A7" totalsRowShown="0" headerRowDxfId="90" dataDxfId="89">
  <autoFilter ref="A1:A7" xr:uid="{DC42EDDE-36B8-4264-90C9-7FDC71DC1FF4}"/>
  <tableColumns count="1">
    <tableColumn id="1" xr3:uid="{22F5F04E-85A2-4F15-BEE3-01DD2DF1FD86}" name="ReceiveTyp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E570E-9BFC-4865-A921-3D21FEABDC2B}" name="Table3" displayName="Table3" ref="C1:C5" totalsRowShown="0" headerRowDxfId="87" dataDxfId="86">
  <autoFilter ref="C1:C5" xr:uid="{719E2885-40EF-43C0-AD39-69570B92669E}"/>
  <tableColumns count="1">
    <tableColumn id="1" xr3:uid="{FBBCD01B-AAF6-4A6C-A9EB-BFA99BAA03D5}" name="User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BC72-590F-4719-B2F9-FBE939020007}">
  <sheetPr>
    <tabColor theme="4" tint="-0.249977111117893"/>
  </sheetPr>
  <dimension ref="A1:BM500"/>
  <sheetViews>
    <sheetView zoomScale="70" zoomScaleNormal="70" workbookViewId="0">
      <pane xSplit="3" ySplit="1" topLeftCell="H2" activePane="bottomRight" state="frozen"/>
      <selection pane="topRight" activeCell="E1" sqref="E1"/>
      <selection pane="bottomLeft" activeCell="A2" sqref="A2"/>
      <selection pane="bottomRight" activeCell="A5" sqref="A5"/>
    </sheetView>
  </sheetViews>
  <sheetFormatPr defaultColWidth="7.5" defaultRowHeight="12"/>
  <cols>
    <col min="1" max="1" width="9.5" style="95" customWidth="1"/>
    <col min="2" max="2" width="8.375" style="103" customWidth="1"/>
    <col min="3" max="3" width="13" style="96" bestFit="1" customWidth="1"/>
    <col min="4" max="4" width="21" style="97" customWidth="1"/>
    <col min="5" max="5" width="12.875" style="97" customWidth="1"/>
    <col min="6" max="6" width="16.875" style="97" customWidth="1"/>
    <col min="7" max="7" width="35" style="83" customWidth="1"/>
    <col min="8" max="8" width="6.5" style="98" customWidth="1"/>
    <col min="9" max="11" width="11.5" style="124" customWidth="1"/>
    <col min="12" max="12" width="10" style="99" customWidth="1"/>
    <col min="13" max="13" width="12.5" style="100" customWidth="1"/>
    <col min="14" max="14" width="6.5" style="100" customWidth="1"/>
    <col min="15" max="15" width="9" style="96" customWidth="1"/>
    <col min="16" max="16" width="13.375" style="105" customWidth="1"/>
    <col min="17" max="17" width="9" style="82" customWidth="1"/>
    <col min="18" max="18" width="9.5" style="83" customWidth="1"/>
    <col min="19" max="19" width="9" style="83" customWidth="1"/>
    <col min="20" max="20" width="13.875" style="83" bestFit="1" customWidth="1"/>
    <col min="21" max="21" width="9" style="83" customWidth="1"/>
    <col min="22" max="22" width="9.875" style="83" bestFit="1" customWidth="1"/>
    <col min="23" max="23" width="14.5" style="83" bestFit="1" customWidth="1"/>
    <col min="24" max="65" width="9" style="83" customWidth="1"/>
    <col min="66" max="16384" width="7.5" style="84"/>
  </cols>
  <sheetData>
    <row r="1" spans="1:65" s="78" customFormat="1" ht="24.75" customHeight="1">
      <c r="A1" s="71" t="s">
        <v>107</v>
      </c>
      <c r="B1" s="101" t="s">
        <v>108</v>
      </c>
      <c r="C1" s="72" t="s">
        <v>1715</v>
      </c>
      <c r="D1" s="73" t="s">
        <v>110</v>
      </c>
      <c r="E1" s="74" t="s">
        <v>111</v>
      </c>
      <c r="F1" s="74" t="s">
        <v>112</v>
      </c>
      <c r="G1" s="75" t="s">
        <v>113</v>
      </c>
      <c r="H1" s="79" t="s">
        <v>114</v>
      </c>
      <c r="I1" s="75" t="s">
        <v>115</v>
      </c>
      <c r="J1" s="75" t="s">
        <v>116</v>
      </c>
      <c r="K1" s="75" t="s">
        <v>1716</v>
      </c>
      <c r="L1" s="80" t="s">
        <v>117</v>
      </c>
      <c r="M1" s="81" t="s">
        <v>118</v>
      </c>
      <c r="N1" s="80" t="s">
        <v>119</v>
      </c>
      <c r="O1" s="72" t="s">
        <v>120</v>
      </c>
      <c r="P1" s="104" t="s">
        <v>121</v>
      </c>
      <c r="Q1" s="76" t="s">
        <v>122</v>
      </c>
      <c r="R1" s="141">
        <f ca="1">ROUND(SUM(K:K)+SUM(K:K)*7%,2)-R3</f>
        <v>17058</v>
      </c>
      <c r="S1" s="77"/>
      <c r="T1" s="141">
        <f ca="1">SUM(T2:T62)-T3</f>
        <v>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</row>
    <row r="2" spans="1:65" ht="20.25" customHeight="1">
      <c r="A2" s="85">
        <v>45296</v>
      </c>
      <c r="B2" s="102">
        <v>105028</v>
      </c>
      <c r="C2" s="86" t="s">
        <v>47</v>
      </c>
      <c r="D2" s="87">
        <v>4892210204080</v>
      </c>
      <c r="E2" s="88" t="str">
        <f>IFERROR(VLOOKUP(D2,ProductMaster!$A:$B,2,FALSE),"")</f>
        <v>018472009</v>
      </c>
      <c r="F2" s="88" t="str">
        <f>IFERROR(VLOOKUP(D2,ProductMaster!$A:$C,3,FALSE),"")</f>
        <v>M18 FHX-0X0</v>
      </c>
      <c r="G2" s="89" t="str">
        <f>IFERROR(VLOOKUP($D2,ProductMaster!$A:$O,4,FALSE),"")</f>
        <v>สว่านโรตารี่ไร้สาย 18 โวลต์ 26 มม. SDS PLUS 3 ระบบ (เครื่องเปล่า)</v>
      </c>
      <c r="H2" s="90">
        <v>1</v>
      </c>
      <c r="I2" s="123">
        <f>IFERROR(VLOOKUP(E2,ProductMaster!B:G,6,FALSE),0)</f>
        <v>11951.401869158879</v>
      </c>
      <c r="J2" s="123">
        <f>ROUND(SUM(I2*7%),2)</f>
        <v>836.6</v>
      </c>
      <c r="K2" s="123">
        <f>ROUND(SUM(H2*I2),2)</f>
        <v>11951.4</v>
      </c>
      <c r="L2" s="148"/>
      <c r="M2" s="92" t="s">
        <v>127</v>
      </c>
      <c r="N2" s="92" t="s">
        <v>1711</v>
      </c>
      <c r="O2" s="93">
        <v>0</v>
      </c>
      <c r="P2" s="86" t="s">
        <v>129</v>
      </c>
      <c r="Q2" s="82">
        <f>IF(B2=B1,Q1+1,1)</f>
        <v>1</v>
      </c>
      <c r="R2" s="124">
        <f ca="1">SUMIF(B2:K500,S2,K2:K500)</f>
        <v>0</v>
      </c>
      <c r="S2" s="149">
        <v>505001</v>
      </c>
      <c r="T2" s="124">
        <f ca="1">R2*1.07</f>
        <v>0</v>
      </c>
    </row>
    <row r="3" spans="1:65" s="196" customFormat="1" ht="20.25" customHeight="1">
      <c r="A3" s="85">
        <v>45296</v>
      </c>
      <c r="B3" s="152">
        <v>105028</v>
      </c>
      <c r="C3" s="185" t="s">
        <v>47</v>
      </c>
      <c r="D3" s="186" t="s">
        <v>1646</v>
      </c>
      <c r="E3" s="187" t="str">
        <f>IFERROR(VLOOKUP(D3,ProductMaster!$A:$B,2,FALSE),"")</f>
        <v>001997014-(BF)</v>
      </c>
      <c r="F3" s="187" t="str">
        <f>IFERROR(VLOOKUP(D3,ProductMaster!$A:$C,3,FALSE),"")</f>
        <v>M12-18FCSA-(BF)</v>
      </c>
      <c r="G3" s="188" t="str">
        <f>IFERROR(VLOOKUP($D3,ProductMaster!$A:$O,4,FALSE),"")</f>
        <v>แท่นชาร์จแบตเตอรี่ 12-18 โวลต์ แบบชาร์จเร็ว</v>
      </c>
      <c r="H3" s="90">
        <v>1</v>
      </c>
      <c r="I3" s="189">
        <f>IFERROR(VLOOKUP(E3,ProductMaster!B:G,6,FALSE),0)</f>
        <v>1766.3551401869158</v>
      </c>
      <c r="J3" s="189">
        <f t="shared" ref="J3:J66" si="0">ROUND(SUM(I3*7%),2)</f>
        <v>123.64</v>
      </c>
      <c r="K3" s="189">
        <f t="shared" ref="K3:K16" si="1">ROUND(SUM(H3*I3),2)</f>
        <v>1766.36</v>
      </c>
      <c r="L3" s="190"/>
      <c r="M3" s="191" t="s">
        <v>127</v>
      </c>
      <c r="N3" s="191" t="s">
        <v>1711</v>
      </c>
      <c r="O3" s="192">
        <v>0</v>
      </c>
      <c r="P3" s="185" t="s">
        <v>129</v>
      </c>
      <c r="Q3" s="193">
        <f t="shared" ref="Q3:Q66" si="2">IF(B3=B2,Q2+1,1)</f>
        <v>2</v>
      </c>
      <c r="R3" s="194">
        <f t="shared" ref="R3:R62" ca="1" si="3">SUMIF(B3:K501,S3,K3:K501)</f>
        <v>0</v>
      </c>
      <c r="S3" s="193">
        <v>505002</v>
      </c>
      <c r="T3" s="194">
        <f ca="1">R3*1.07</f>
        <v>0</v>
      </c>
      <c r="U3" s="195" t="s">
        <v>1914</v>
      </c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</row>
    <row r="4" spans="1:65" s="196" customFormat="1" ht="20.25" customHeight="1">
      <c r="A4" s="85">
        <v>45296</v>
      </c>
      <c r="B4" s="152">
        <v>105028</v>
      </c>
      <c r="C4" s="185" t="s">
        <v>47</v>
      </c>
      <c r="D4" s="186" t="s">
        <v>1671</v>
      </c>
      <c r="E4" s="187" t="str">
        <f>IFERROR(VLOOKUP(D4,ProductMaster!$A:$B,2,FALSE),"")</f>
        <v>001997033-(BF)</v>
      </c>
      <c r="F4" s="187" t="str">
        <f>IFERROR(VLOOKUP(D4,ProductMaster!$A:$C,3,FALSE),"")</f>
        <v>M12HB5-(BF)</v>
      </c>
      <c r="G4" s="188" t="str">
        <f>IFERROR(VLOOKUP($D4,ProductMaster!$A:$O,4,FALSE),"")</f>
        <v>แบตเตอรี่ 12 โวลต์ 5.0 แอมป์อาว HIGH OUTPUT</v>
      </c>
      <c r="H4" s="90">
        <v>1</v>
      </c>
      <c r="I4" s="189">
        <f>IFERROR(VLOOKUP(E4,ProductMaster!B:G,6,FALSE),0)</f>
        <v>1485.981308411215</v>
      </c>
      <c r="J4" s="189">
        <f t="shared" si="0"/>
        <v>104.02</v>
      </c>
      <c r="K4" s="189">
        <f t="shared" si="1"/>
        <v>1485.98</v>
      </c>
      <c r="L4" s="190"/>
      <c r="M4" s="191" t="s">
        <v>127</v>
      </c>
      <c r="N4" s="191" t="s">
        <v>1711</v>
      </c>
      <c r="O4" s="192">
        <v>0</v>
      </c>
      <c r="P4" s="185" t="s">
        <v>129</v>
      </c>
      <c r="Q4" s="193">
        <f t="shared" si="2"/>
        <v>3</v>
      </c>
      <c r="R4" s="194">
        <f t="shared" ca="1" si="3"/>
        <v>0</v>
      </c>
      <c r="S4" s="197">
        <v>505003</v>
      </c>
      <c r="T4" s="194">
        <f t="shared" ref="T4:T62" ca="1" si="4">R4*1.07</f>
        <v>0</v>
      </c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</row>
    <row r="5" spans="1:65" s="196" customFormat="1" ht="20.25" customHeight="1">
      <c r="A5" s="85">
        <v>45416</v>
      </c>
      <c r="B5" s="152">
        <v>405004</v>
      </c>
      <c r="C5" s="185" t="s">
        <v>97</v>
      </c>
      <c r="D5" s="186" t="s">
        <v>1663</v>
      </c>
      <c r="E5" s="187" t="str">
        <f>IFERROR(VLOOKUP(D5,ProductMaster!$A:$B,2,FALSE),"")</f>
        <v>001998232-(BF)</v>
      </c>
      <c r="F5" s="187" t="str">
        <f>IFERROR(VLOOKUP(D5,ProductMaster!$A:$C,3,FALSE),"")</f>
        <v>M12B2ASIA-(BF)</v>
      </c>
      <c r="G5" s="188" t="str">
        <f>IFERROR(VLOOKUP($D5,ProductMaster!$A:$O,4,FALSE),"")</f>
        <v>แบตเตอรี่ 12 โวลต์ 2.0 แอมป์อาว</v>
      </c>
      <c r="H5" s="90">
        <v>1</v>
      </c>
      <c r="I5" s="189">
        <f>IFERROR(VLOOKUP(E5,ProductMaster!B:G,6,FALSE),0)</f>
        <v>738.31775700934577</v>
      </c>
      <c r="J5" s="189">
        <f t="shared" si="0"/>
        <v>51.68</v>
      </c>
      <c r="K5" s="189">
        <f t="shared" si="1"/>
        <v>738.32</v>
      </c>
      <c r="L5" s="190"/>
      <c r="M5" s="191" t="s">
        <v>127</v>
      </c>
      <c r="N5" s="191" t="s">
        <v>1711</v>
      </c>
      <c r="O5" s="192">
        <v>0</v>
      </c>
      <c r="P5" s="185" t="s">
        <v>129</v>
      </c>
      <c r="Q5" s="193">
        <f t="shared" si="2"/>
        <v>1</v>
      </c>
      <c r="R5" s="194">
        <f t="shared" ca="1" si="3"/>
        <v>0</v>
      </c>
      <c r="S5" s="193">
        <v>505004</v>
      </c>
      <c r="T5" s="194">
        <f t="shared" ca="1" si="4"/>
        <v>0</v>
      </c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</row>
    <row r="6" spans="1:65" s="181" customFormat="1" ht="20.25" customHeight="1">
      <c r="A6" s="154"/>
      <c r="B6" s="155"/>
      <c r="C6" s="156"/>
      <c r="D6" s="157"/>
      <c r="E6" s="174" t="str">
        <f>IFERROR(VLOOKUP(D6,ProductMaster!$A:$B,2,FALSE),"")</f>
        <v/>
      </c>
      <c r="F6" s="174" t="str">
        <f>IFERROR(VLOOKUP(D6,ProductMaster!$A:$C,3,FALSE),"")</f>
        <v/>
      </c>
      <c r="G6" s="175" t="str">
        <f>IFERROR(VLOOKUP($D6,ProductMaster!$A:$O,4,FALSE),"")</f>
        <v/>
      </c>
      <c r="H6" s="176"/>
      <c r="I6" s="177">
        <f>IFERROR(VLOOKUP(E6,ProductMaster!B:G,6,FALSE),0)</f>
        <v>0</v>
      </c>
      <c r="J6" s="177">
        <f t="shared" si="0"/>
        <v>0</v>
      </c>
      <c r="K6" s="177">
        <f t="shared" si="1"/>
        <v>0</v>
      </c>
      <c r="L6" s="148"/>
      <c r="M6" s="178" t="s">
        <v>127</v>
      </c>
      <c r="N6" s="178" t="s">
        <v>1711</v>
      </c>
      <c r="O6" s="179">
        <v>0</v>
      </c>
      <c r="P6" s="156" t="s">
        <v>129</v>
      </c>
      <c r="Q6" s="173">
        <f t="shared" si="2"/>
        <v>1</v>
      </c>
      <c r="R6" s="180">
        <f t="shared" ca="1" si="3"/>
        <v>0</v>
      </c>
      <c r="S6" s="184">
        <v>505005</v>
      </c>
      <c r="T6" s="180">
        <f t="shared" ca="1" si="4"/>
        <v>0</v>
      </c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</row>
    <row r="7" spans="1:65" s="171" customFormat="1" ht="20.25" customHeight="1">
      <c r="A7" s="158"/>
      <c r="B7" s="159"/>
      <c r="C7" s="160"/>
      <c r="D7" s="161"/>
      <c r="E7" s="162" t="str">
        <f>IFERROR(VLOOKUP(D7,ProductMaster!$A:$B,2,FALSE),"")</f>
        <v/>
      </c>
      <c r="F7" s="162" t="str">
        <f>IFERROR(VLOOKUP(D7,ProductMaster!$A:$C,3,FALSE),"")</f>
        <v/>
      </c>
      <c r="G7" s="163" t="str">
        <f>IFERROR(VLOOKUP($D7,ProductMaster!$A:$O,4,FALSE),"")</f>
        <v/>
      </c>
      <c r="H7" s="164"/>
      <c r="I7" s="165">
        <f>IFERROR(VLOOKUP(E7,ProductMaster!B:G,6,FALSE),0)</f>
        <v>0</v>
      </c>
      <c r="J7" s="165">
        <f t="shared" si="0"/>
        <v>0</v>
      </c>
      <c r="K7" s="165">
        <f t="shared" si="1"/>
        <v>0</v>
      </c>
      <c r="L7" s="166"/>
      <c r="M7" s="92" t="s">
        <v>123</v>
      </c>
      <c r="N7" s="167" t="s">
        <v>1711</v>
      </c>
      <c r="O7" s="168">
        <v>0</v>
      </c>
      <c r="P7" s="160" t="s">
        <v>1709</v>
      </c>
      <c r="Q7" s="169">
        <f t="shared" si="2"/>
        <v>2</v>
      </c>
      <c r="R7" s="183">
        <f t="shared" ca="1" si="3"/>
        <v>0</v>
      </c>
      <c r="S7" s="83">
        <v>505006</v>
      </c>
      <c r="T7" s="183">
        <f t="shared" ca="1" si="4"/>
        <v>0</v>
      </c>
      <c r="U7" s="170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</row>
    <row r="8" spans="1:65" ht="20.25" customHeight="1">
      <c r="A8" s="85"/>
      <c r="B8" s="102"/>
      <c r="C8" s="86"/>
      <c r="D8" s="87"/>
      <c r="E8" s="88" t="str">
        <f>IFERROR(VLOOKUP(D8,ProductMaster!$A:$B,2,FALSE),"")</f>
        <v/>
      </c>
      <c r="F8" s="88" t="str">
        <f>IFERROR(VLOOKUP(D8,ProductMaster!$A:$C,3,FALSE),"")</f>
        <v/>
      </c>
      <c r="G8" s="89" t="str">
        <f>IFERROR(VLOOKUP($D8,ProductMaster!$A:$O,4,FALSE),"")</f>
        <v/>
      </c>
      <c r="H8" s="90"/>
      <c r="I8" s="123">
        <f>IFERROR(VLOOKUP(E8,ProductMaster!B:G,6,FALSE),0)</f>
        <v>0</v>
      </c>
      <c r="J8" s="123">
        <f t="shared" si="0"/>
        <v>0</v>
      </c>
      <c r="K8" s="123">
        <f t="shared" si="1"/>
        <v>0</v>
      </c>
      <c r="L8" s="148"/>
      <c r="M8" s="92" t="s">
        <v>123</v>
      </c>
      <c r="N8" s="92" t="s">
        <v>1711</v>
      </c>
      <c r="O8" s="93">
        <v>0</v>
      </c>
      <c r="P8" s="86" t="s">
        <v>1709</v>
      </c>
      <c r="Q8" s="82">
        <f t="shared" si="2"/>
        <v>3</v>
      </c>
      <c r="R8" s="124">
        <f t="shared" ca="1" si="3"/>
        <v>0</v>
      </c>
      <c r="S8" s="149">
        <v>505007</v>
      </c>
      <c r="T8" s="124">
        <f t="shared" ca="1" si="4"/>
        <v>0</v>
      </c>
    </row>
    <row r="9" spans="1:65" ht="20.25" customHeight="1">
      <c r="A9" s="85"/>
      <c r="B9" s="102"/>
      <c r="C9" s="86"/>
      <c r="D9" s="87"/>
      <c r="E9" s="88" t="str">
        <f>IFERROR(VLOOKUP(D9,ProductMaster!$A:$B,2,FALSE),"")</f>
        <v/>
      </c>
      <c r="F9" s="88" t="str">
        <f>IFERROR(VLOOKUP(D9,ProductMaster!$A:$C,3,FALSE),"")</f>
        <v/>
      </c>
      <c r="G9" s="89" t="str">
        <f>IFERROR(VLOOKUP($D9,ProductMaster!$A:$O,4,FALSE),"")</f>
        <v/>
      </c>
      <c r="H9" s="90"/>
      <c r="I9" s="123">
        <f>IFERROR(VLOOKUP(E9,ProductMaster!B:G,6,FALSE),0)</f>
        <v>0</v>
      </c>
      <c r="J9" s="123">
        <f t="shared" si="0"/>
        <v>0</v>
      </c>
      <c r="K9" s="123">
        <f t="shared" si="1"/>
        <v>0</v>
      </c>
      <c r="L9" s="148"/>
      <c r="M9" s="92" t="s">
        <v>123</v>
      </c>
      <c r="N9" s="92" t="s">
        <v>1711</v>
      </c>
      <c r="O9" s="93">
        <v>0</v>
      </c>
      <c r="P9" s="86" t="s">
        <v>1709</v>
      </c>
      <c r="Q9" s="82">
        <f t="shared" si="2"/>
        <v>4</v>
      </c>
      <c r="R9" s="124">
        <f t="shared" ca="1" si="3"/>
        <v>0</v>
      </c>
      <c r="S9" s="83">
        <v>505008</v>
      </c>
      <c r="T9" s="124">
        <f t="shared" ca="1" si="4"/>
        <v>0</v>
      </c>
    </row>
    <row r="10" spans="1:65" ht="20.25" customHeight="1">
      <c r="A10" s="85"/>
      <c r="B10" s="102"/>
      <c r="C10" s="86"/>
      <c r="D10" s="87"/>
      <c r="E10" s="88" t="str">
        <f>IFERROR(VLOOKUP(D10,ProductMaster!$A:$B,2,FALSE),"")</f>
        <v/>
      </c>
      <c r="F10" s="88" t="str">
        <f>IFERROR(VLOOKUP(D10,ProductMaster!$A:$C,3,FALSE),"")</f>
        <v/>
      </c>
      <c r="G10" s="89" t="str">
        <f>IFERROR(VLOOKUP($D10,ProductMaster!$A:$O,4,FALSE),"")</f>
        <v/>
      </c>
      <c r="H10" s="90"/>
      <c r="I10" s="123">
        <f>IFERROR(VLOOKUP(E10,ProductMaster!B:G,6,FALSE),0)</f>
        <v>0</v>
      </c>
      <c r="J10" s="123">
        <f t="shared" si="0"/>
        <v>0</v>
      </c>
      <c r="K10" s="123">
        <f t="shared" si="1"/>
        <v>0</v>
      </c>
      <c r="L10" s="148"/>
      <c r="M10" s="92" t="s">
        <v>123</v>
      </c>
      <c r="N10" s="92" t="s">
        <v>1711</v>
      </c>
      <c r="O10" s="93">
        <v>0</v>
      </c>
      <c r="P10" s="86" t="s">
        <v>1709</v>
      </c>
      <c r="Q10" s="82">
        <f t="shared" si="2"/>
        <v>5</v>
      </c>
      <c r="R10" s="124">
        <f t="shared" ca="1" si="3"/>
        <v>0</v>
      </c>
      <c r="S10" s="149">
        <v>505009</v>
      </c>
      <c r="T10" s="124">
        <f t="shared" ca="1" si="4"/>
        <v>0</v>
      </c>
    </row>
    <row r="11" spans="1:65" ht="20.25" customHeight="1">
      <c r="A11" s="85"/>
      <c r="B11" s="102"/>
      <c r="C11" s="86"/>
      <c r="D11" s="87"/>
      <c r="E11" s="88" t="str">
        <f>IFERROR(VLOOKUP(D11,ProductMaster!$A:$B,2,FALSE),"")</f>
        <v/>
      </c>
      <c r="F11" s="88" t="str">
        <f>IFERROR(VLOOKUP(D11,ProductMaster!$A:$C,3,FALSE),"")</f>
        <v/>
      </c>
      <c r="G11" s="89" t="str">
        <f>IFERROR(VLOOKUP($D11,ProductMaster!$A:$O,4,FALSE),"")</f>
        <v/>
      </c>
      <c r="H11" s="90"/>
      <c r="I11" s="123">
        <f>IFERROR(VLOOKUP(E11,ProductMaster!B:G,6,FALSE),0)</f>
        <v>0</v>
      </c>
      <c r="J11" s="123">
        <f t="shared" si="0"/>
        <v>0</v>
      </c>
      <c r="K11" s="123">
        <f t="shared" si="1"/>
        <v>0</v>
      </c>
      <c r="L11" s="148"/>
      <c r="M11" s="92" t="s">
        <v>123</v>
      </c>
      <c r="N11" s="92" t="s">
        <v>1711</v>
      </c>
      <c r="O11" s="93">
        <v>0</v>
      </c>
      <c r="P11" s="86" t="s">
        <v>1709</v>
      </c>
      <c r="Q11" s="82">
        <f t="shared" si="2"/>
        <v>6</v>
      </c>
      <c r="R11" s="124">
        <f t="shared" ca="1" si="3"/>
        <v>0</v>
      </c>
      <c r="S11" s="83">
        <v>505010</v>
      </c>
      <c r="T11" s="124">
        <f t="shared" ca="1" si="4"/>
        <v>0</v>
      </c>
      <c r="U11" s="153"/>
      <c r="V11" s="153"/>
    </row>
    <row r="12" spans="1:65" ht="20.25" customHeight="1">
      <c r="A12" s="85"/>
      <c r="B12" s="102"/>
      <c r="C12" s="86"/>
      <c r="D12" s="87"/>
      <c r="E12" s="88" t="str">
        <f>IFERROR(VLOOKUP(D12,ProductMaster!$A:$B,2,FALSE),"")</f>
        <v/>
      </c>
      <c r="F12" s="88" t="str">
        <f>IFERROR(VLOOKUP(D12,ProductMaster!$A:$C,3,FALSE),"")</f>
        <v/>
      </c>
      <c r="G12" s="89" t="str">
        <f>IFERROR(VLOOKUP($D12,ProductMaster!$A:$O,4,FALSE),"")</f>
        <v/>
      </c>
      <c r="H12" s="90"/>
      <c r="I12" s="123">
        <f>IFERROR(VLOOKUP(E12,ProductMaster!B:G,6,FALSE),0)</f>
        <v>0</v>
      </c>
      <c r="J12" s="123">
        <f t="shared" si="0"/>
        <v>0</v>
      </c>
      <c r="K12" s="123">
        <f t="shared" si="1"/>
        <v>0</v>
      </c>
      <c r="L12" s="148"/>
      <c r="M12" s="92" t="s">
        <v>125</v>
      </c>
      <c r="N12" s="92" t="s">
        <v>1711</v>
      </c>
      <c r="O12" s="93">
        <v>0</v>
      </c>
      <c r="P12" s="86" t="s">
        <v>129</v>
      </c>
      <c r="Q12" s="82">
        <f t="shared" si="2"/>
        <v>7</v>
      </c>
      <c r="R12" s="124">
        <f t="shared" ca="1" si="3"/>
        <v>0</v>
      </c>
      <c r="S12" s="149">
        <v>505011</v>
      </c>
      <c r="T12" s="124">
        <f t="shared" ca="1" si="4"/>
        <v>0</v>
      </c>
    </row>
    <row r="13" spans="1:65" ht="20.25" customHeight="1">
      <c r="A13" s="85"/>
      <c r="B13" s="102"/>
      <c r="C13" s="86"/>
      <c r="D13" s="87"/>
      <c r="E13" s="88" t="str">
        <f>IFERROR(VLOOKUP(D13,ProductMaster!$A:$B,2,FALSE),"")</f>
        <v/>
      </c>
      <c r="F13" s="88" t="str">
        <f>IFERROR(VLOOKUP(D13,ProductMaster!$A:$C,3,FALSE),"")</f>
        <v/>
      </c>
      <c r="G13" s="89" t="str">
        <f>IFERROR(VLOOKUP($D13,ProductMaster!$A:$O,4,FALSE),"")</f>
        <v/>
      </c>
      <c r="H13" s="90"/>
      <c r="I13" s="123">
        <f>IFERROR(VLOOKUP(E13,ProductMaster!B:G,6,FALSE),0)</f>
        <v>0</v>
      </c>
      <c r="J13" s="123">
        <f t="shared" si="0"/>
        <v>0</v>
      </c>
      <c r="K13" s="123">
        <f t="shared" si="1"/>
        <v>0</v>
      </c>
      <c r="L13" s="148"/>
      <c r="M13" s="92" t="s">
        <v>125</v>
      </c>
      <c r="N13" s="92" t="s">
        <v>1711</v>
      </c>
      <c r="O13" s="93">
        <v>0</v>
      </c>
      <c r="P13" s="86" t="s">
        <v>129</v>
      </c>
      <c r="Q13" s="82">
        <f t="shared" si="2"/>
        <v>8</v>
      </c>
      <c r="R13" s="124">
        <f t="shared" ca="1" si="3"/>
        <v>0</v>
      </c>
      <c r="S13" s="83">
        <v>505012</v>
      </c>
      <c r="T13" s="124">
        <f t="shared" ca="1" si="4"/>
        <v>0</v>
      </c>
    </row>
    <row r="14" spans="1:65" ht="20.100000000000001" customHeight="1">
      <c r="A14" s="85"/>
      <c r="B14" s="102"/>
      <c r="C14" s="86"/>
      <c r="D14" s="87"/>
      <c r="E14" s="88" t="str">
        <f>IFERROR(VLOOKUP(D14,ProductMaster!$A:$B,2,FALSE),"")</f>
        <v/>
      </c>
      <c r="F14" s="88" t="str">
        <f>IFERROR(VLOOKUP(D14,ProductMaster!$A:$C,3,FALSE),"")</f>
        <v/>
      </c>
      <c r="G14" s="89" t="str">
        <f>IFERROR(VLOOKUP($D14,ProductMaster!$A:$O,4,FALSE),"")</f>
        <v/>
      </c>
      <c r="H14" s="90"/>
      <c r="I14" s="123">
        <f>IFERROR(VLOOKUP(E14,ProductMaster!B:G,6,FALSE),0)</f>
        <v>0</v>
      </c>
      <c r="J14" s="123">
        <f t="shared" si="0"/>
        <v>0</v>
      </c>
      <c r="K14" s="123">
        <f t="shared" si="1"/>
        <v>0</v>
      </c>
      <c r="L14" s="148"/>
      <c r="M14" s="92" t="s">
        <v>125</v>
      </c>
      <c r="N14" s="92" t="s">
        <v>1711</v>
      </c>
      <c r="O14" s="93">
        <v>0</v>
      </c>
      <c r="P14" s="86" t="s">
        <v>129</v>
      </c>
      <c r="Q14" s="82">
        <f t="shared" si="2"/>
        <v>9</v>
      </c>
      <c r="R14" s="124">
        <f t="shared" ca="1" si="3"/>
        <v>0</v>
      </c>
      <c r="S14" s="149">
        <v>505013</v>
      </c>
      <c r="T14" s="124">
        <f t="shared" ca="1" si="4"/>
        <v>0</v>
      </c>
    </row>
    <row r="15" spans="1:65" ht="20.25" customHeight="1">
      <c r="A15" s="85"/>
      <c r="B15" s="102"/>
      <c r="C15" s="86"/>
      <c r="D15" s="94"/>
      <c r="E15" s="88" t="str">
        <f>IFERROR(VLOOKUP(D15,ProductMaster!$A:$B,2,FALSE),"")</f>
        <v/>
      </c>
      <c r="F15" s="88" t="str">
        <f>IFERROR(VLOOKUP(D15,ProductMaster!$A:$C,3,FALSE),"")</f>
        <v/>
      </c>
      <c r="G15" s="89" t="str">
        <f>IFERROR(VLOOKUP($D15,ProductMaster!$A:$O,4,FALSE),"")</f>
        <v/>
      </c>
      <c r="H15" s="90"/>
      <c r="I15" s="123">
        <f>IFERROR(VLOOKUP(E15,ProductMaster!B:G,6,FALSE),0)</f>
        <v>0</v>
      </c>
      <c r="J15" s="123">
        <f t="shared" si="0"/>
        <v>0</v>
      </c>
      <c r="K15" s="123">
        <f t="shared" si="1"/>
        <v>0</v>
      </c>
      <c r="L15" s="148"/>
      <c r="M15" s="92" t="s">
        <v>125</v>
      </c>
      <c r="N15" s="92" t="s">
        <v>1711</v>
      </c>
      <c r="O15" s="93">
        <v>0</v>
      </c>
      <c r="P15" s="86" t="s">
        <v>129</v>
      </c>
      <c r="Q15" s="82">
        <f t="shared" si="2"/>
        <v>10</v>
      </c>
      <c r="R15" s="124">
        <f t="shared" ca="1" si="3"/>
        <v>0</v>
      </c>
      <c r="S15" s="83">
        <v>505014</v>
      </c>
      <c r="T15" s="124">
        <f t="shared" ca="1" si="4"/>
        <v>0</v>
      </c>
    </row>
    <row r="16" spans="1:65" ht="20.25" customHeight="1">
      <c r="A16" s="85"/>
      <c r="B16" s="102"/>
      <c r="C16" s="86"/>
      <c r="D16" s="87"/>
      <c r="E16" s="88" t="str">
        <f>IFERROR(VLOOKUP(D16,ProductMaster!$A:$B,2,FALSE),"")</f>
        <v/>
      </c>
      <c r="F16" s="88" t="str">
        <f>IFERROR(VLOOKUP(D16,ProductMaster!$A:$C,3,FALSE),"")</f>
        <v/>
      </c>
      <c r="G16" s="89" t="str">
        <f>IFERROR(VLOOKUP($D16,ProductMaster!$A:$O,4,FALSE),"")</f>
        <v/>
      </c>
      <c r="H16" s="90"/>
      <c r="I16" s="123">
        <f>IFERROR(VLOOKUP(E16,ProductMaster!B:G,6,FALSE),0)</f>
        <v>0</v>
      </c>
      <c r="J16" s="123">
        <f t="shared" si="0"/>
        <v>0</v>
      </c>
      <c r="K16" s="123">
        <f t="shared" si="1"/>
        <v>0</v>
      </c>
      <c r="L16" s="148"/>
      <c r="M16" s="92" t="s">
        <v>127</v>
      </c>
      <c r="N16" s="92" t="s">
        <v>1711</v>
      </c>
      <c r="O16" s="93">
        <v>0</v>
      </c>
      <c r="P16" s="86" t="s">
        <v>129</v>
      </c>
      <c r="Q16" s="82">
        <f t="shared" si="2"/>
        <v>11</v>
      </c>
      <c r="R16" s="124">
        <f t="shared" ca="1" si="3"/>
        <v>0</v>
      </c>
      <c r="S16" s="149">
        <v>505015</v>
      </c>
      <c r="T16" s="124">
        <f t="shared" ca="1" si="4"/>
        <v>0</v>
      </c>
    </row>
    <row r="17" spans="1:65" ht="20.25" customHeight="1">
      <c r="A17" s="85"/>
      <c r="B17" s="102"/>
      <c r="C17" s="86"/>
      <c r="D17" s="87"/>
      <c r="E17" s="88" t="str">
        <f>IFERROR(VLOOKUP(D17,ProductMaster!$A:$B,2,FALSE),"")</f>
        <v/>
      </c>
      <c r="F17" s="88" t="str">
        <f>IFERROR(VLOOKUP(D17,ProductMaster!$A:$C,3,FALSE),"")</f>
        <v/>
      </c>
      <c r="G17" s="89" t="str">
        <f>IFERROR(VLOOKUP($D17,ProductMaster!$A:$O,4,FALSE),"")</f>
        <v/>
      </c>
      <c r="H17" s="90"/>
      <c r="I17" s="123">
        <f>IFERROR(VLOOKUP(E17,ProductMaster!B:G,6,FALSE),0)</f>
        <v>0</v>
      </c>
      <c r="J17" s="123">
        <f t="shared" si="0"/>
        <v>0</v>
      </c>
      <c r="K17" s="123">
        <f t="shared" ref="K17:K80" si="5">ROUND(SUM(H17*I17),2)</f>
        <v>0</v>
      </c>
      <c r="L17" s="148"/>
      <c r="M17" s="92" t="s">
        <v>127</v>
      </c>
      <c r="N17" s="92" t="s">
        <v>1711</v>
      </c>
      <c r="O17" s="93">
        <v>0</v>
      </c>
      <c r="P17" s="86" t="s">
        <v>129</v>
      </c>
      <c r="Q17" s="82">
        <f t="shared" si="2"/>
        <v>12</v>
      </c>
      <c r="R17" s="124">
        <f t="shared" ca="1" si="3"/>
        <v>0</v>
      </c>
      <c r="S17" s="83">
        <v>505016</v>
      </c>
      <c r="T17" s="124">
        <f t="shared" ca="1" si="4"/>
        <v>0</v>
      </c>
    </row>
    <row r="18" spans="1:65" ht="20.25" customHeight="1">
      <c r="A18" s="85"/>
      <c r="B18" s="102"/>
      <c r="C18" s="86"/>
      <c r="D18" s="87"/>
      <c r="E18" s="88" t="str">
        <f>IFERROR(VLOOKUP(D18,ProductMaster!$A:$B,2,FALSE),"")</f>
        <v/>
      </c>
      <c r="F18" s="88" t="str">
        <f>IFERROR(VLOOKUP(D18,ProductMaster!$A:$C,3,FALSE),"")</f>
        <v/>
      </c>
      <c r="G18" s="89" t="str">
        <f>IFERROR(VLOOKUP($D18,ProductMaster!$A:$O,4,FALSE),"")</f>
        <v/>
      </c>
      <c r="H18" s="90"/>
      <c r="I18" s="123">
        <f>IFERROR(VLOOKUP(E18,ProductMaster!B:G,6,FALSE),0)</f>
        <v>0</v>
      </c>
      <c r="J18" s="123">
        <f t="shared" si="0"/>
        <v>0</v>
      </c>
      <c r="K18" s="123">
        <f t="shared" si="5"/>
        <v>0</v>
      </c>
      <c r="L18" s="148"/>
      <c r="M18" s="92" t="s">
        <v>127</v>
      </c>
      <c r="N18" s="92" t="s">
        <v>1711</v>
      </c>
      <c r="O18" s="93">
        <v>0</v>
      </c>
      <c r="P18" s="86" t="s">
        <v>129</v>
      </c>
      <c r="Q18" s="82">
        <f t="shared" si="2"/>
        <v>13</v>
      </c>
      <c r="R18" s="124">
        <f t="shared" ca="1" si="3"/>
        <v>0</v>
      </c>
      <c r="S18" s="149">
        <v>505017</v>
      </c>
      <c r="T18" s="124">
        <f t="shared" ca="1" si="4"/>
        <v>0</v>
      </c>
    </row>
    <row r="19" spans="1:65" ht="20.25" customHeight="1">
      <c r="A19" s="85"/>
      <c r="B19" s="102"/>
      <c r="C19" s="86"/>
      <c r="D19" s="87"/>
      <c r="E19" s="88" t="str">
        <f>IFERROR(VLOOKUP(D19,ProductMaster!$A:$B,2,FALSE),"")</f>
        <v/>
      </c>
      <c r="F19" s="88" t="str">
        <f>IFERROR(VLOOKUP(D19,ProductMaster!$A:$C,3,FALSE),"")</f>
        <v/>
      </c>
      <c r="G19" s="89" t="str">
        <f>IFERROR(VLOOKUP($D19,ProductMaster!$A:$O,4,FALSE),"")</f>
        <v/>
      </c>
      <c r="H19" s="90"/>
      <c r="I19" s="123">
        <f>IFERROR(VLOOKUP(E19,ProductMaster!B:G,6,FALSE),0)</f>
        <v>0</v>
      </c>
      <c r="J19" s="123">
        <f t="shared" si="0"/>
        <v>0</v>
      </c>
      <c r="K19" s="123">
        <f t="shared" ref="K19:K66" si="6">ROUND(SUM(H19*I19),2)</f>
        <v>0</v>
      </c>
      <c r="L19" s="148"/>
      <c r="M19" s="92" t="s">
        <v>127</v>
      </c>
      <c r="N19" s="92" t="s">
        <v>1711</v>
      </c>
      <c r="O19" s="93">
        <v>0</v>
      </c>
      <c r="P19" s="86" t="s">
        <v>129</v>
      </c>
      <c r="Q19" s="82">
        <f t="shared" si="2"/>
        <v>14</v>
      </c>
      <c r="R19" s="124">
        <f t="shared" ca="1" si="3"/>
        <v>0</v>
      </c>
      <c r="S19" s="83">
        <v>505018</v>
      </c>
      <c r="T19" s="124">
        <f t="shared" ca="1" si="4"/>
        <v>0</v>
      </c>
    </row>
    <row r="20" spans="1:65" ht="20.25" customHeight="1">
      <c r="A20" s="85"/>
      <c r="B20" s="102"/>
      <c r="C20" s="86"/>
      <c r="D20" s="87"/>
      <c r="E20" s="88" t="str">
        <f>IFERROR(VLOOKUP(D20,ProductMaster!$A:$B,2,FALSE),"")</f>
        <v/>
      </c>
      <c r="F20" s="88" t="str">
        <f>IFERROR(VLOOKUP(D20,ProductMaster!$A:$C,3,FALSE),"")</f>
        <v/>
      </c>
      <c r="G20" s="89" t="str">
        <f>IFERROR(VLOOKUP($D20,ProductMaster!$A:$O,4,FALSE),"")</f>
        <v/>
      </c>
      <c r="H20" s="90"/>
      <c r="I20" s="123">
        <f>IFERROR(VLOOKUP(E20,ProductMaster!B:G,6,FALSE),0)</f>
        <v>0</v>
      </c>
      <c r="J20" s="123">
        <f t="shared" si="0"/>
        <v>0</v>
      </c>
      <c r="K20" s="123">
        <f t="shared" si="6"/>
        <v>0</v>
      </c>
      <c r="L20" s="148"/>
      <c r="M20" s="92" t="s">
        <v>127</v>
      </c>
      <c r="N20" s="92" t="s">
        <v>1711</v>
      </c>
      <c r="O20" s="93">
        <v>0</v>
      </c>
      <c r="P20" s="86" t="s">
        <v>129</v>
      </c>
      <c r="Q20" s="82">
        <f t="shared" si="2"/>
        <v>15</v>
      </c>
      <c r="R20" s="124">
        <f t="shared" ca="1" si="3"/>
        <v>0</v>
      </c>
      <c r="S20" s="149">
        <v>505019</v>
      </c>
      <c r="T20" s="124">
        <f t="shared" ca="1" si="4"/>
        <v>0</v>
      </c>
    </row>
    <row r="21" spans="1:65" s="181" customFormat="1" ht="20.25" customHeight="1">
      <c r="A21" s="154"/>
      <c r="B21" s="155"/>
      <c r="C21" s="156"/>
      <c r="D21" s="157"/>
      <c r="E21" s="174" t="str">
        <f>IFERROR(VLOOKUP(D21,ProductMaster!$A:$B,2,FALSE),"")</f>
        <v/>
      </c>
      <c r="F21" s="174" t="str">
        <f>IFERROR(VLOOKUP(D21,ProductMaster!$A:$C,3,FALSE),"")</f>
        <v/>
      </c>
      <c r="G21" s="175" t="str">
        <f>IFERROR(VLOOKUP($D21,ProductMaster!$A:$O,4,FALSE),"")</f>
        <v/>
      </c>
      <c r="H21" s="176"/>
      <c r="I21" s="177">
        <f>IFERROR(VLOOKUP(E21,ProductMaster!B:G,6,FALSE),0)</f>
        <v>0</v>
      </c>
      <c r="J21" s="177">
        <f t="shared" si="0"/>
        <v>0</v>
      </c>
      <c r="K21" s="177">
        <f t="shared" si="6"/>
        <v>0</v>
      </c>
      <c r="L21" s="148"/>
      <c r="M21" s="178" t="s">
        <v>127</v>
      </c>
      <c r="N21" s="178" t="s">
        <v>1711</v>
      </c>
      <c r="O21" s="179">
        <v>0</v>
      </c>
      <c r="P21" s="156" t="s">
        <v>129</v>
      </c>
      <c r="Q21" s="173">
        <f t="shared" si="2"/>
        <v>16</v>
      </c>
      <c r="R21" s="180">
        <f t="shared" ca="1" si="3"/>
        <v>0</v>
      </c>
      <c r="S21" s="173">
        <v>505020</v>
      </c>
      <c r="T21" s="180">
        <f t="shared" ca="1" si="4"/>
        <v>0</v>
      </c>
      <c r="U21" s="151" t="s">
        <v>1921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</row>
    <row r="22" spans="1:65" ht="20.25" customHeight="1">
      <c r="A22" s="85"/>
      <c r="B22" s="102"/>
      <c r="C22" s="86"/>
      <c r="D22" s="87"/>
      <c r="E22" s="88" t="str">
        <f>IFERROR(VLOOKUP(D22,ProductMaster!$A:$B,2,FALSE),"")</f>
        <v/>
      </c>
      <c r="F22" s="88" t="str">
        <f>IFERROR(VLOOKUP(D22,ProductMaster!$A:$C,3,FALSE),"")</f>
        <v/>
      </c>
      <c r="G22" s="89" t="str">
        <f>IFERROR(VLOOKUP($D22,ProductMaster!$A:$O,4,FALSE),"")</f>
        <v/>
      </c>
      <c r="H22" s="90"/>
      <c r="I22" s="123">
        <f>IFERROR(VLOOKUP(E22,ProductMaster!B:G,6,FALSE),0)</f>
        <v>0</v>
      </c>
      <c r="J22" s="123">
        <f t="shared" si="0"/>
        <v>0</v>
      </c>
      <c r="K22" s="123">
        <f t="shared" si="6"/>
        <v>0</v>
      </c>
      <c r="L22" s="148"/>
      <c r="M22" s="92" t="s">
        <v>127</v>
      </c>
      <c r="N22" s="92" t="s">
        <v>1711</v>
      </c>
      <c r="O22" s="93">
        <v>0</v>
      </c>
      <c r="P22" s="86" t="s">
        <v>129</v>
      </c>
      <c r="Q22" s="82">
        <f t="shared" si="2"/>
        <v>17</v>
      </c>
      <c r="R22" s="124">
        <f t="shared" ca="1" si="3"/>
        <v>0</v>
      </c>
      <c r="S22" s="149">
        <v>505021</v>
      </c>
      <c r="T22" s="124">
        <f t="shared" ca="1" si="4"/>
        <v>0</v>
      </c>
    </row>
    <row r="23" spans="1:65" ht="20.25" customHeight="1">
      <c r="A23" s="85"/>
      <c r="B23" s="102"/>
      <c r="C23" s="86"/>
      <c r="D23" s="87"/>
      <c r="E23" s="88" t="str">
        <f>IFERROR(VLOOKUP(D23,ProductMaster!$A:$B,2,FALSE),"")</f>
        <v/>
      </c>
      <c r="F23" s="88" t="str">
        <f>IFERROR(VLOOKUP(D23,ProductMaster!$A:$C,3,FALSE),"")</f>
        <v/>
      </c>
      <c r="G23" s="89" t="str">
        <f>IFERROR(VLOOKUP($D23,ProductMaster!$A:$O,4,FALSE),"")</f>
        <v/>
      </c>
      <c r="H23" s="90"/>
      <c r="I23" s="123">
        <f>IFERROR(VLOOKUP(E23,ProductMaster!B:G,6,FALSE),0)</f>
        <v>0</v>
      </c>
      <c r="J23" s="123">
        <f t="shared" si="0"/>
        <v>0</v>
      </c>
      <c r="K23" s="123">
        <f t="shared" si="6"/>
        <v>0</v>
      </c>
      <c r="L23" s="148"/>
      <c r="M23" s="92" t="s">
        <v>127</v>
      </c>
      <c r="N23" s="92" t="s">
        <v>1711</v>
      </c>
      <c r="O23" s="93">
        <v>0</v>
      </c>
      <c r="P23" s="86" t="s">
        <v>129</v>
      </c>
      <c r="Q23" s="82">
        <f t="shared" si="2"/>
        <v>18</v>
      </c>
      <c r="R23" s="124">
        <f t="shared" ca="1" si="3"/>
        <v>0</v>
      </c>
      <c r="S23" s="83">
        <v>505022</v>
      </c>
      <c r="T23" s="124">
        <f t="shared" ca="1" si="4"/>
        <v>0</v>
      </c>
    </row>
    <row r="24" spans="1:65" ht="20.25" customHeight="1">
      <c r="A24" s="85"/>
      <c r="B24" s="102"/>
      <c r="C24" s="86"/>
      <c r="D24" s="87"/>
      <c r="E24" s="88" t="str">
        <f>IFERROR(VLOOKUP(D24,ProductMaster!$A:$B,2,FALSE),"")</f>
        <v/>
      </c>
      <c r="F24" s="88" t="str">
        <f>IFERROR(VLOOKUP(D24,ProductMaster!$A:$C,3,FALSE),"")</f>
        <v/>
      </c>
      <c r="G24" s="89" t="str">
        <f>IFERROR(VLOOKUP($D24,ProductMaster!$A:$O,4,FALSE),"")</f>
        <v/>
      </c>
      <c r="H24" s="90"/>
      <c r="I24" s="123">
        <f>IFERROR(VLOOKUP(E24,ProductMaster!B:G,6,FALSE),0)</f>
        <v>0</v>
      </c>
      <c r="J24" s="123">
        <f t="shared" si="0"/>
        <v>0</v>
      </c>
      <c r="K24" s="123">
        <f t="shared" si="6"/>
        <v>0</v>
      </c>
      <c r="L24" s="148"/>
      <c r="M24" s="92" t="s">
        <v>127</v>
      </c>
      <c r="N24" s="92" t="s">
        <v>1711</v>
      </c>
      <c r="O24" s="93">
        <v>0</v>
      </c>
      <c r="P24" s="86" t="s">
        <v>129</v>
      </c>
      <c r="Q24" s="82">
        <f t="shared" si="2"/>
        <v>19</v>
      </c>
      <c r="R24" s="124">
        <f t="shared" ca="1" si="3"/>
        <v>0</v>
      </c>
      <c r="S24" s="149">
        <v>505023</v>
      </c>
      <c r="T24" s="124">
        <f t="shared" ca="1" si="4"/>
        <v>0</v>
      </c>
    </row>
    <row r="25" spans="1:65" ht="20.25" customHeight="1">
      <c r="A25" s="85"/>
      <c r="B25" s="102"/>
      <c r="C25" s="86"/>
      <c r="D25" s="87"/>
      <c r="E25" s="88" t="str">
        <f>IFERROR(VLOOKUP(D25,ProductMaster!$A:$B,2,FALSE),"")</f>
        <v/>
      </c>
      <c r="F25" s="88" t="str">
        <f>IFERROR(VLOOKUP(D25,ProductMaster!$A:$C,3,FALSE),"")</f>
        <v/>
      </c>
      <c r="G25" s="89" t="str">
        <f>IFERROR(VLOOKUP($D25,ProductMaster!$A:$O,4,FALSE),"")</f>
        <v/>
      </c>
      <c r="H25" s="90"/>
      <c r="I25" s="123">
        <f>IFERROR(VLOOKUP(E25,ProductMaster!B:G,6,FALSE),0)</f>
        <v>0</v>
      </c>
      <c r="J25" s="123">
        <f t="shared" si="0"/>
        <v>0</v>
      </c>
      <c r="K25" s="123">
        <f t="shared" si="6"/>
        <v>0</v>
      </c>
      <c r="L25" s="148"/>
      <c r="M25" s="92" t="s">
        <v>127</v>
      </c>
      <c r="N25" s="92" t="s">
        <v>1711</v>
      </c>
      <c r="O25" s="93">
        <v>0</v>
      </c>
      <c r="P25" s="86" t="s">
        <v>129</v>
      </c>
      <c r="Q25" s="82">
        <f t="shared" si="2"/>
        <v>20</v>
      </c>
      <c r="R25" s="124">
        <f t="shared" ca="1" si="3"/>
        <v>0</v>
      </c>
      <c r="S25" s="83">
        <v>505024</v>
      </c>
      <c r="T25" s="124">
        <f t="shared" ca="1" si="4"/>
        <v>0</v>
      </c>
    </row>
    <row r="26" spans="1:65" ht="20.25" customHeight="1">
      <c r="A26" s="85"/>
      <c r="B26" s="102"/>
      <c r="C26" s="86"/>
      <c r="D26" s="87"/>
      <c r="E26" s="88" t="str">
        <f>IFERROR(VLOOKUP(D26,ProductMaster!$A:$B,2,FALSE),"")</f>
        <v/>
      </c>
      <c r="F26" s="88" t="str">
        <f>IFERROR(VLOOKUP(D26,ProductMaster!$A:$C,3,FALSE),"")</f>
        <v/>
      </c>
      <c r="G26" s="89" t="str">
        <f>IFERROR(VLOOKUP($D26,ProductMaster!$A:$O,4,FALSE),"")</f>
        <v/>
      </c>
      <c r="H26" s="90"/>
      <c r="I26" s="123">
        <f>IFERROR(VLOOKUP(E26,ProductMaster!B:G,6,FALSE),0)</f>
        <v>0</v>
      </c>
      <c r="J26" s="123">
        <f t="shared" si="0"/>
        <v>0</v>
      </c>
      <c r="K26" s="123">
        <f t="shared" si="6"/>
        <v>0</v>
      </c>
      <c r="L26" s="148"/>
      <c r="M26" s="92" t="s">
        <v>127</v>
      </c>
      <c r="N26" s="92" t="s">
        <v>1711</v>
      </c>
      <c r="O26" s="93">
        <v>0</v>
      </c>
      <c r="P26" s="86" t="s">
        <v>129</v>
      </c>
      <c r="Q26" s="82">
        <f t="shared" si="2"/>
        <v>21</v>
      </c>
      <c r="R26" s="124">
        <f t="shared" ca="1" si="3"/>
        <v>0</v>
      </c>
      <c r="S26" s="149">
        <v>505025</v>
      </c>
      <c r="T26" s="124">
        <f t="shared" ca="1" si="4"/>
        <v>0</v>
      </c>
    </row>
    <row r="27" spans="1:65" ht="20.25" customHeight="1">
      <c r="A27" s="85"/>
      <c r="B27" s="102"/>
      <c r="C27" s="86"/>
      <c r="D27" s="87"/>
      <c r="E27" s="88" t="str">
        <f>IFERROR(VLOOKUP(D27,ProductMaster!$A:$B,2,FALSE),"")</f>
        <v/>
      </c>
      <c r="F27" s="88" t="str">
        <f>IFERROR(VLOOKUP(D27,ProductMaster!$A:$C,3,FALSE),"")</f>
        <v/>
      </c>
      <c r="G27" s="89" t="str">
        <f>IFERROR(VLOOKUP($D27,ProductMaster!$A:$O,4,FALSE),"")</f>
        <v/>
      </c>
      <c r="H27" s="90"/>
      <c r="I27" s="123">
        <f>IFERROR(VLOOKUP(E27,ProductMaster!B:G,6,FALSE),0)</f>
        <v>0</v>
      </c>
      <c r="J27" s="123">
        <f t="shared" si="0"/>
        <v>0</v>
      </c>
      <c r="K27" s="123">
        <f t="shared" si="6"/>
        <v>0</v>
      </c>
      <c r="L27" s="148"/>
      <c r="M27" s="92" t="s">
        <v>127</v>
      </c>
      <c r="N27" s="92" t="s">
        <v>1711</v>
      </c>
      <c r="O27" s="93">
        <v>0</v>
      </c>
      <c r="P27" s="86" t="s">
        <v>129</v>
      </c>
      <c r="Q27" s="82">
        <f t="shared" si="2"/>
        <v>22</v>
      </c>
      <c r="R27" s="124">
        <f t="shared" ca="1" si="3"/>
        <v>0</v>
      </c>
      <c r="S27" s="83">
        <v>505026</v>
      </c>
      <c r="T27" s="124">
        <f t="shared" ca="1" si="4"/>
        <v>0</v>
      </c>
    </row>
    <row r="28" spans="1:65" ht="20.25" customHeight="1">
      <c r="A28" s="85"/>
      <c r="B28" s="102"/>
      <c r="C28" s="86"/>
      <c r="D28" s="87"/>
      <c r="E28" s="88" t="str">
        <f>IFERROR(VLOOKUP(D28,ProductMaster!$A:$B,2,FALSE),"")</f>
        <v/>
      </c>
      <c r="F28" s="88" t="str">
        <f>IFERROR(VLOOKUP(D28,ProductMaster!$A:$C,3,FALSE),"")</f>
        <v/>
      </c>
      <c r="G28" s="89" t="str">
        <f>IFERROR(VLOOKUP($D28,ProductMaster!$A:$O,4,FALSE),"")</f>
        <v/>
      </c>
      <c r="H28" s="90"/>
      <c r="I28" s="123">
        <f>IFERROR(VLOOKUP(E28,ProductMaster!B:G,6,FALSE),0)</f>
        <v>0</v>
      </c>
      <c r="J28" s="123">
        <f t="shared" si="0"/>
        <v>0</v>
      </c>
      <c r="K28" s="123">
        <f t="shared" si="6"/>
        <v>0</v>
      </c>
      <c r="L28" s="148"/>
      <c r="M28" s="92" t="s">
        <v>127</v>
      </c>
      <c r="N28" s="92" t="s">
        <v>1711</v>
      </c>
      <c r="O28" s="93">
        <v>0</v>
      </c>
      <c r="P28" s="86" t="s">
        <v>129</v>
      </c>
      <c r="Q28" s="82">
        <f t="shared" si="2"/>
        <v>23</v>
      </c>
      <c r="R28" s="124">
        <f t="shared" ca="1" si="3"/>
        <v>0</v>
      </c>
      <c r="S28" s="149">
        <v>505027</v>
      </c>
      <c r="T28" s="124">
        <f t="shared" ca="1" si="4"/>
        <v>0</v>
      </c>
    </row>
    <row r="29" spans="1:65" ht="20.25" customHeight="1">
      <c r="A29" s="85"/>
      <c r="B29" s="102"/>
      <c r="C29" s="86"/>
      <c r="D29" s="87"/>
      <c r="E29" s="88" t="str">
        <f>IFERROR(VLOOKUP(D29,ProductMaster!$A:$B,2,FALSE),"")</f>
        <v/>
      </c>
      <c r="F29" s="88" t="str">
        <f>IFERROR(VLOOKUP(D29,ProductMaster!$A:$C,3,FALSE),"")</f>
        <v/>
      </c>
      <c r="G29" s="89" t="str">
        <f>IFERROR(VLOOKUP($D29,ProductMaster!$A:$O,4,FALSE),"")</f>
        <v/>
      </c>
      <c r="H29" s="90"/>
      <c r="I29" s="123">
        <f>IFERROR(VLOOKUP(E29,ProductMaster!B:G,6,FALSE),0)</f>
        <v>0</v>
      </c>
      <c r="J29" s="123">
        <f t="shared" si="0"/>
        <v>0</v>
      </c>
      <c r="K29" s="123">
        <f t="shared" si="6"/>
        <v>0</v>
      </c>
      <c r="L29" s="148"/>
      <c r="M29" s="92" t="s">
        <v>127</v>
      </c>
      <c r="N29" s="92" t="s">
        <v>1711</v>
      </c>
      <c r="O29" s="93">
        <v>0</v>
      </c>
      <c r="P29" s="86" t="s">
        <v>129</v>
      </c>
      <c r="Q29" s="82">
        <f t="shared" si="2"/>
        <v>24</v>
      </c>
      <c r="R29" s="124">
        <f t="shared" ca="1" si="3"/>
        <v>0</v>
      </c>
      <c r="S29" s="83">
        <v>505028</v>
      </c>
      <c r="T29" s="124">
        <f t="shared" ca="1" si="4"/>
        <v>0</v>
      </c>
    </row>
    <row r="30" spans="1:65" ht="20.25" customHeight="1">
      <c r="A30" s="85"/>
      <c r="B30" s="102"/>
      <c r="C30" s="86"/>
      <c r="D30" s="87"/>
      <c r="E30" s="88" t="str">
        <f>IFERROR(VLOOKUP(D30,ProductMaster!$A:$B,2,FALSE),"")</f>
        <v/>
      </c>
      <c r="F30" s="88" t="str">
        <f>IFERROR(VLOOKUP(D30,ProductMaster!$A:$C,3,FALSE),"")</f>
        <v/>
      </c>
      <c r="G30" s="89" t="str">
        <f>IFERROR(VLOOKUP($D30,ProductMaster!$A:$O,4,FALSE),"")</f>
        <v/>
      </c>
      <c r="H30" s="90"/>
      <c r="I30" s="123">
        <f>IFERROR(VLOOKUP(E30,ProductMaster!B:G,6,FALSE),0)</f>
        <v>0</v>
      </c>
      <c r="J30" s="123">
        <f t="shared" si="0"/>
        <v>0</v>
      </c>
      <c r="K30" s="123">
        <f t="shared" si="6"/>
        <v>0</v>
      </c>
      <c r="L30" s="148"/>
      <c r="M30" s="92" t="s">
        <v>127</v>
      </c>
      <c r="N30" s="92" t="s">
        <v>1711</v>
      </c>
      <c r="O30" s="93">
        <v>0</v>
      </c>
      <c r="P30" s="86" t="s">
        <v>129</v>
      </c>
      <c r="Q30" s="82">
        <f t="shared" si="2"/>
        <v>25</v>
      </c>
      <c r="R30" s="124">
        <f t="shared" ca="1" si="3"/>
        <v>0</v>
      </c>
      <c r="S30" s="149">
        <v>505029</v>
      </c>
      <c r="T30" s="124">
        <f t="shared" ca="1" si="4"/>
        <v>0</v>
      </c>
    </row>
    <row r="31" spans="1:65" ht="20.25" customHeight="1">
      <c r="A31" s="85"/>
      <c r="B31" s="102"/>
      <c r="C31" s="86"/>
      <c r="D31" s="87"/>
      <c r="E31" s="88" t="str">
        <f>IFERROR(VLOOKUP(D31,ProductMaster!$A:$B,2,FALSE),"")</f>
        <v/>
      </c>
      <c r="F31" s="88" t="str">
        <f>IFERROR(VLOOKUP(D31,ProductMaster!$A:$C,3,FALSE),"")</f>
        <v/>
      </c>
      <c r="G31" s="89" t="str">
        <f>IFERROR(VLOOKUP($D31,ProductMaster!$A:$O,4,FALSE),"")</f>
        <v/>
      </c>
      <c r="H31" s="90"/>
      <c r="I31" s="123">
        <f>IFERROR(VLOOKUP(E31,ProductMaster!B:G,6,FALSE),0)</f>
        <v>0</v>
      </c>
      <c r="J31" s="123">
        <f t="shared" si="0"/>
        <v>0</v>
      </c>
      <c r="K31" s="123">
        <f t="shared" si="6"/>
        <v>0</v>
      </c>
      <c r="L31" s="148"/>
      <c r="M31" s="92" t="s">
        <v>127</v>
      </c>
      <c r="N31" s="92" t="s">
        <v>1711</v>
      </c>
      <c r="O31" s="93">
        <v>0</v>
      </c>
      <c r="P31" s="86" t="s">
        <v>129</v>
      </c>
      <c r="Q31" s="82">
        <f t="shared" si="2"/>
        <v>26</v>
      </c>
      <c r="R31" s="124">
        <f t="shared" ca="1" si="3"/>
        <v>0</v>
      </c>
      <c r="S31" s="83">
        <v>505030</v>
      </c>
      <c r="T31" s="124">
        <f t="shared" ca="1" si="4"/>
        <v>0</v>
      </c>
    </row>
    <row r="32" spans="1:65" ht="20.25" customHeight="1">
      <c r="A32" s="85"/>
      <c r="B32" s="102"/>
      <c r="C32" s="86"/>
      <c r="D32" s="87"/>
      <c r="E32" s="88" t="str">
        <f>IFERROR(VLOOKUP(D32,ProductMaster!$A:$B,2,FALSE),"")</f>
        <v/>
      </c>
      <c r="F32" s="88" t="str">
        <f>IFERROR(VLOOKUP(D32,ProductMaster!$A:$C,3,FALSE),"")</f>
        <v/>
      </c>
      <c r="G32" s="89" t="str">
        <f>IFERROR(VLOOKUP($D32,ProductMaster!$A:$O,4,FALSE),"")</f>
        <v/>
      </c>
      <c r="H32" s="90"/>
      <c r="I32" s="123">
        <f>IFERROR(VLOOKUP(E32,ProductMaster!B:G,6,FALSE),0)</f>
        <v>0</v>
      </c>
      <c r="J32" s="123">
        <f t="shared" si="0"/>
        <v>0</v>
      </c>
      <c r="K32" s="123">
        <f t="shared" si="6"/>
        <v>0</v>
      </c>
      <c r="L32" s="148"/>
      <c r="M32" s="92" t="s">
        <v>127</v>
      </c>
      <c r="N32" s="92" t="s">
        <v>1711</v>
      </c>
      <c r="O32" s="93">
        <v>0</v>
      </c>
      <c r="P32" s="86" t="s">
        <v>129</v>
      </c>
      <c r="Q32" s="82">
        <f t="shared" si="2"/>
        <v>27</v>
      </c>
      <c r="R32" s="124">
        <f t="shared" ca="1" si="3"/>
        <v>0</v>
      </c>
      <c r="S32" s="149">
        <v>505031</v>
      </c>
      <c r="T32" s="124">
        <f t="shared" ca="1" si="4"/>
        <v>0</v>
      </c>
    </row>
    <row r="33" spans="1:23" ht="20.25" customHeight="1">
      <c r="A33" s="85"/>
      <c r="B33" s="102"/>
      <c r="C33" s="86"/>
      <c r="D33" s="87"/>
      <c r="E33" s="88" t="str">
        <f>IFERROR(VLOOKUP(D33,ProductMaster!$A:$B,2,FALSE),"")</f>
        <v/>
      </c>
      <c r="F33" s="88" t="str">
        <f>IFERROR(VLOOKUP(D33,ProductMaster!$A:$C,3,FALSE),"")</f>
        <v/>
      </c>
      <c r="G33" s="89" t="str">
        <f>IFERROR(VLOOKUP($D33,ProductMaster!$A:$O,4,FALSE),"")</f>
        <v/>
      </c>
      <c r="H33" s="90"/>
      <c r="I33" s="123">
        <f>IFERROR(VLOOKUP(E33,ProductMaster!B:G,6,FALSE),0)</f>
        <v>0</v>
      </c>
      <c r="J33" s="123">
        <f t="shared" si="0"/>
        <v>0</v>
      </c>
      <c r="K33" s="123">
        <f t="shared" si="6"/>
        <v>0</v>
      </c>
      <c r="L33" s="148"/>
      <c r="M33" s="92" t="s">
        <v>127</v>
      </c>
      <c r="N33" s="92" t="s">
        <v>1711</v>
      </c>
      <c r="O33" s="93">
        <v>0</v>
      </c>
      <c r="P33" s="86" t="s">
        <v>129</v>
      </c>
      <c r="Q33" s="82">
        <f t="shared" si="2"/>
        <v>28</v>
      </c>
      <c r="R33" s="124">
        <f t="shared" ca="1" si="3"/>
        <v>0</v>
      </c>
      <c r="S33" s="83">
        <v>505032</v>
      </c>
      <c r="T33" s="124">
        <f t="shared" ca="1" si="4"/>
        <v>0</v>
      </c>
    </row>
    <row r="34" spans="1:23" ht="20.25" customHeight="1">
      <c r="A34" s="85"/>
      <c r="B34" s="102"/>
      <c r="C34" s="86"/>
      <c r="D34" s="87"/>
      <c r="E34" s="88" t="str">
        <f>IFERROR(VLOOKUP(D34,ProductMaster!$A:$B,2,FALSE),"")</f>
        <v/>
      </c>
      <c r="F34" s="88" t="str">
        <f>IFERROR(VLOOKUP(D34,ProductMaster!$A:$C,3,FALSE),"")</f>
        <v/>
      </c>
      <c r="G34" s="89" t="str">
        <f>IFERROR(VLOOKUP($D34,ProductMaster!$A:$O,4,FALSE),"")</f>
        <v/>
      </c>
      <c r="H34" s="90"/>
      <c r="I34" s="123">
        <f>IFERROR(VLOOKUP(E34,ProductMaster!B:G,6,FALSE),0)</f>
        <v>0</v>
      </c>
      <c r="J34" s="123">
        <f t="shared" si="0"/>
        <v>0</v>
      </c>
      <c r="K34" s="123">
        <f t="shared" si="6"/>
        <v>0</v>
      </c>
      <c r="L34" s="148"/>
      <c r="M34" s="92" t="s">
        <v>127</v>
      </c>
      <c r="N34" s="92" t="s">
        <v>1711</v>
      </c>
      <c r="O34" s="93">
        <v>0</v>
      </c>
      <c r="P34" s="86" t="s">
        <v>129</v>
      </c>
      <c r="Q34" s="82">
        <f t="shared" si="2"/>
        <v>29</v>
      </c>
      <c r="R34" s="124">
        <f t="shared" ca="1" si="3"/>
        <v>0</v>
      </c>
      <c r="S34" s="149">
        <v>505033</v>
      </c>
      <c r="T34" s="124">
        <f t="shared" ca="1" si="4"/>
        <v>0</v>
      </c>
    </row>
    <row r="35" spans="1:23" ht="20.25" customHeight="1">
      <c r="A35" s="85"/>
      <c r="B35" s="102"/>
      <c r="C35" s="86"/>
      <c r="D35" s="87"/>
      <c r="E35" s="88" t="str">
        <f>IFERROR(VLOOKUP(D35,ProductMaster!$A:$B,2,FALSE),"")</f>
        <v/>
      </c>
      <c r="F35" s="88" t="str">
        <f>IFERROR(VLOOKUP(D35,ProductMaster!$A:$C,3,FALSE),"")</f>
        <v/>
      </c>
      <c r="G35" s="89" t="str">
        <f>IFERROR(VLOOKUP($D35,ProductMaster!$A:$O,4,FALSE),"")</f>
        <v/>
      </c>
      <c r="H35" s="90"/>
      <c r="I35" s="123">
        <f>IFERROR(VLOOKUP(E35,ProductMaster!B:G,6,FALSE),0)</f>
        <v>0</v>
      </c>
      <c r="J35" s="123">
        <f t="shared" si="0"/>
        <v>0</v>
      </c>
      <c r="K35" s="123">
        <f t="shared" si="6"/>
        <v>0</v>
      </c>
      <c r="L35" s="148"/>
      <c r="M35" s="92" t="s">
        <v>127</v>
      </c>
      <c r="N35" s="92" t="s">
        <v>1711</v>
      </c>
      <c r="O35" s="93">
        <v>0</v>
      </c>
      <c r="P35" s="86" t="s">
        <v>129</v>
      </c>
      <c r="Q35" s="82">
        <f t="shared" si="2"/>
        <v>30</v>
      </c>
      <c r="R35" s="124">
        <f t="shared" ca="1" si="3"/>
        <v>0</v>
      </c>
      <c r="S35" s="83">
        <v>505034</v>
      </c>
      <c r="T35" s="124">
        <f t="shared" ca="1" si="4"/>
        <v>0</v>
      </c>
    </row>
    <row r="36" spans="1:23" ht="20.25" customHeight="1">
      <c r="A36" s="85"/>
      <c r="B36" s="102"/>
      <c r="C36" s="86"/>
      <c r="D36" s="87"/>
      <c r="E36" s="88" t="str">
        <f>IFERROR(VLOOKUP(D36,ProductMaster!$A:$B,2,FALSE),"")</f>
        <v/>
      </c>
      <c r="F36" s="88" t="str">
        <f>IFERROR(VLOOKUP(D36,ProductMaster!$A:$C,3,FALSE),"")</f>
        <v/>
      </c>
      <c r="G36" s="89" t="str">
        <f>IFERROR(VLOOKUP($D36,ProductMaster!$A:$O,4,FALSE),"")</f>
        <v/>
      </c>
      <c r="H36" s="90"/>
      <c r="I36" s="123">
        <f>IFERROR(VLOOKUP(E36,ProductMaster!B:G,6,FALSE),0)</f>
        <v>0</v>
      </c>
      <c r="J36" s="123">
        <f t="shared" si="0"/>
        <v>0</v>
      </c>
      <c r="K36" s="123">
        <f t="shared" si="6"/>
        <v>0</v>
      </c>
      <c r="L36" s="148"/>
      <c r="M36" s="92" t="s">
        <v>127</v>
      </c>
      <c r="N36" s="92" t="s">
        <v>1711</v>
      </c>
      <c r="O36" s="93">
        <v>0</v>
      </c>
      <c r="P36" s="86" t="s">
        <v>129</v>
      </c>
      <c r="Q36" s="82">
        <f t="shared" si="2"/>
        <v>31</v>
      </c>
      <c r="R36" s="124">
        <f t="shared" ca="1" si="3"/>
        <v>0</v>
      </c>
      <c r="S36" s="149">
        <v>505035</v>
      </c>
      <c r="T36" s="124">
        <f t="shared" ca="1" si="4"/>
        <v>0</v>
      </c>
    </row>
    <row r="37" spans="1:23" ht="20.25" customHeight="1">
      <c r="A37" s="85"/>
      <c r="B37" s="102"/>
      <c r="C37" s="86"/>
      <c r="D37" s="87"/>
      <c r="E37" s="88" t="str">
        <f>IFERROR(VLOOKUP(D37,ProductMaster!$A:$B,2,FALSE),"")</f>
        <v/>
      </c>
      <c r="F37" s="88" t="str">
        <f>IFERROR(VLOOKUP(D37,ProductMaster!$A:$C,3,FALSE),"")</f>
        <v/>
      </c>
      <c r="G37" s="89" t="str">
        <f>IFERROR(VLOOKUP($D37,ProductMaster!$A:$O,4,FALSE),"")</f>
        <v/>
      </c>
      <c r="H37" s="90"/>
      <c r="I37" s="123">
        <f>IFERROR(VLOOKUP(E37,ProductMaster!B:G,6,FALSE),0)</f>
        <v>0</v>
      </c>
      <c r="J37" s="123">
        <f t="shared" si="0"/>
        <v>0</v>
      </c>
      <c r="K37" s="123">
        <f t="shared" si="6"/>
        <v>0</v>
      </c>
      <c r="L37" s="148"/>
      <c r="M37" s="92" t="s">
        <v>127</v>
      </c>
      <c r="N37" s="92" t="s">
        <v>1711</v>
      </c>
      <c r="O37" s="93">
        <v>0</v>
      </c>
      <c r="P37" s="86" t="s">
        <v>129</v>
      </c>
      <c r="Q37" s="82">
        <f t="shared" si="2"/>
        <v>32</v>
      </c>
      <c r="R37" s="124">
        <f t="shared" ca="1" si="3"/>
        <v>0</v>
      </c>
      <c r="S37" s="83">
        <v>505036</v>
      </c>
      <c r="T37" s="124">
        <f t="shared" ca="1" si="4"/>
        <v>0</v>
      </c>
    </row>
    <row r="38" spans="1:23" ht="20.25" customHeight="1">
      <c r="A38" s="85"/>
      <c r="B38" s="102"/>
      <c r="C38" s="86"/>
      <c r="D38" s="87"/>
      <c r="E38" s="88" t="str">
        <f>IFERROR(VLOOKUP(D38,ProductMaster!$A:$B,2,FALSE),"")</f>
        <v/>
      </c>
      <c r="F38" s="88" t="str">
        <f>IFERROR(VLOOKUP(D38,ProductMaster!$A:$C,3,FALSE),"")</f>
        <v/>
      </c>
      <c r="G38" s="89" t="str">
        <f>IFERROR(VLOOKUP($D38,ProductMaster!$A:$O,4,FALSE),"")</f>
        <v/>
      </c>
      <c r="H38" s="90"/>
      <c r="I38" s="123">
        <f>IFERROR(VLOOKUP(E38,ProductMaster!B:G,6,FALSE),0)</f>
        <v>0</v>
      </c>
      <c r="J38" s="123">
        <f t="shared" si="0"/>
        <v>0</v>
      </c>
      <c r="K38" s="123">
        <f t="shared" si="6"/>
        <v>0</v>
      </c>
      <c r="L38" s="148"/>
      <c r="M38" s="92" t="s">
        <v>127</v>
      </c>
      <c r="N38" s="92" t="s">
        <v>1711</v>
      </c>
      <c r="O38" s="93">
        <v>0</v>
      </c>
      <c r="P38" s="86" t="s">
        <v>129</v>
      </c>
      <c r="Q38" s="82">
        <f t="shared" si="2"/>
        <v>33</v>
      </c>
      <c r="R38" s="124">
        <f t="shared" ca="1" si="3"/>
        <v>0</v>
      </c>
      <c r="S38" s="149">
        <v>505037</v>
      </c>
      <c r="T38" s="124">
        <f t="shared" ca="1" si="4"/>
        <v>0</v>
      </c>
    </row>
    <row r="39" spans="1:23" ht="20.25" customHeight="1">
      <c r="A39" s="85"/>
      <c r="B39" s="102"/>
      <c r="C39" s="86"/>
      <c r="D39" s="87"/>
      <c r="E39" s="88" t="str">
        <f>IFERROR(VLOOKUP(D39,ProductMaster!$A:$B,2,FALSE),"")</f>
        <v/>
      </c>
      <c r="F39" s="88" t="str">
        <f>IFERROR(VLOOKUP(D39,ProductMaster!$A:$C,3,FALSE),"")</f>
        <v/>
      </c>
      <c r="G39" s="89" t="str">
        <f>IFERROR(VLOOKUP($D39,ProductMaster!$A:$O,4,FALSE),"")</f>
        <v/>
      </c>
      <c r="H39" s="90"/>
      <c r="I39" s="123">
        <f>IFERROR(VLOOKUP(E39,ProductMaster!B:G,6,FALSE),0)</f>
        <v>0</v>
      </c>
      <c r="J39" s="123">
        <f t="shared" si="0"/>
        <v>0</v>
      </c>
      <c r="K39" s="123">
        <f t="shared" si="6"/>
        <v>0</v>
      </c>
      <c r="L39" s="148"/>
      <c r="M39" s="92" t="s">
        <v>127</v>
      </c>
      <c r="N39" s="92" t="s">
        <v>1711</v>
      </c>
      <c r="O39" s="93">
        <v>0</v>
      </c>
      <c r="P39" s="86" t="s">
        <v>129</v>
      </c>
      <c r="Q39" s="82">
        <f t="shared" si="2"/>
        <v>34</v>
      </c>
      <c r="R39" s="124">
        <f t="shared" ca="1" si="3"/>
        <v>0</v>
      </c>
      <c r="S39" s="83">
        <v>505038</v>
      </c>
      <c r="T39" s="124">
        <f t="shared" ca="1" si="4"/>
        <v>0</v>
      </c>
    </row>
    <row r="40" spans="1:23" ht="20.25" customHeight="1">
      <c r="A40" s="85"/>
      <c r="B40" s="102"/>
      <c r="C40" s="86"/>
      <c r="D40" s="87"/>
      <c r="E40" s="88" t="str">
        <f>IFERROR(VLOOKUP(D40,ProductMaster!$A:$B,2,FALSE),"")</f>
        <v/>
      </c>
      <c r="F40" s="88" t="str">
        <f>IFERROR(VLOOKUP(D40,ProductMaster!$A:$C,3,FALSE),"")</f>
        <v/>
      </c>
      <c r="G40" s="89" t="str">
        <f>IFERROR(VLOOKUP($D40,ProductMaster!$A:$O,4,FALSE),"")</f>
        <v/>
      </c>
      <c r="H40" s="90"/>
      <c r="I40" s="123">
        <f>IFERROR(VLOOKUP(E40,ProductMaster!B:G,6,FALSE),0)</f>
        <v>0</v>
      </c>
      <c r="J40" s="123">
        <f t="shared" si="0"/>
        <v>0</v>
      </c>
      <c r="K40" s="123">
        <f t="shared" si="6"/>
        <v>0</v>
      </c>
      <c r="L40" s="148"/>
      <c r="M40" s="92" t="s">
        <v>127</v>
      </c>
      <c r="N40" s="92" t="s">
        <v>1711</v>
      </c>
      <c r="O40" s="93">
        <v>0</v>
      </c>
      <c r="P40" s="86" t="s">
        <v>129</v>
      </c>
      <c r="Q40" s="82">
        <f t="shared" si="2"/>
        <v>35</v>
      </c>
      <c r="R40" s="124">
        <f t="shared" ca="1" si="3"/>
        <v>0</v>
      </c>
      <c r="S40" s="149">
        <v>505039</v>
      </c>
      <c r="T40" s="124">
        <f t="shared" ca="1" si="4"/>
        <v>0</v>
      </c>
    </row>
    <row r="41" spans="1:23" ht="20.25" customHeight="1">
      <c r="A41" s="85"/>
      <c r="B41" s="102"/>
      <c r="C41" s="86"/>
      <c r="D41" s="87"/>
      <c r="E41" s="88" t="str">
        <f>IFERROR(VLOOKUP(D41,ProductMaster!$A:$B,2,FALSE),"")</f>
        <v/>
      </c>
      <c r="F41" s="88" t="str">
        <f>IFERROR(VLOOKUP(D41,ProductMaster!$A:$C,3,FALSE),"")</f>
        <v/>
      </c>
      <c r="G41" s="89" t="str">
        <f>IFERROR(VLOOKUP($D41,ProductMaster!$A:$O,4,FALSE),"")</f>
        <v/>
      </c>
      <c r="H41" s="90"/>
      <c r="I41" s="123">
        <f>IFERROR(VLOOKUP(E41,ProductMaster!B:G,6,FALSE),0)</f>
        <v>0</v>
      </c>
      <c r="J41" s="123">
        <f t="shared" si="0"/>
        <v>0</v>
      </c>
      <c r="K41" s="123">
        <f t="shared" si="6"/>
        <v>0</v>
      </c>
      <c r="L41" s="148"/>
      <c r="M41" s="92" t="s">
        <v>127</v>
      </c>
      <c r="N41" s="92" t="s">
        <v>1711</v>
      </c>
      <c r="O41" s="93">
        <v>0</v>
      </c>
      <c r="P41" s="86" t="s">
        <v>129</v>
      </c>
      <c r="Q41" s="82">
        <f t="shared" si="2"/>
        <v>36</v>
      </c>
      <c r="R41" s="124">
        <f t="shared" ca="1" si="3"/>
        <v>0</v>
      </c>
      <c r="S41" s="83">
        <v>505040</v>
      </c>
      <c r="T41" s="124">
        <f t="shared" ca="1" si="4"/>
        <v>0</v>
      </c>
    </row>
    <row r="42" spans="1:23" ht="20.25" customHeight="1">
      <c r="A42" s="85"/>
      <c r="B42" s="102"/>
      <c r="C42" s="86"/>
      <c r="D42" s="87"/>
      <c r="E42" s="88" t="str">
        <f>IFERROR(VLOOKUP(D42,ProductMaster!$A:$B,2,FALSE),"")</f>
        <v/>
      </c>
      <c r="F42" s="88" t="str">
        <f>IFERROR(VLOOKUP(D42,ProductMaster!$A:$C,3,FALSE),"")</f>
        <v/>
      </c>
      <c r="G42" s="89" t="str">
        <f>IFERROR(VLOOKUP($D42,ProductMaster!$A:$O,4,FALSE),"")</f>
        <v/>
      </c>
      <c r="H42" s="90"/>
      <c r="I42" s="123">
        <f>IFERROR(VLOOKUP(E42,ProductMaster!B:G,6,FALSE),0)</f>
        <v>0</v>
      </c>
      <c r="J42" s="123">
        <f t="shared" si="0"/>
        <v>0</v>
      </c>
      <c r="K42" s="123">
        <f t="shared" si="6"/>
        <v>0</v>
      </c>
      <c r="L42" s="91"/>
      <c r="M42" s="92" t="s">
        <v>127</v>
      </c>
      <c r="N42" s="92" t="s">
        <v>1711</v>
      </c>
      <c r="O42" s="93">
        <v>0</v>
      </c>
      <c r="P42" s="86" t="s">
        <v>129</v>
      </c>
      <c r="Q42" s="82">
        <f t="shared" si="2"/>
        <v>37</v>
      </c>
      <c r="R42" s="124">
        <f t="shared" ca="1" si="3"/>
        <v>0</v>
      </c>
      <c r="S42" s="149">
        <v>505041</v>
      </c>
      <c r="T42" s="124">
        <f t="shared" ca="1" si="4"/>
        <v>0</v>
      </c>
    </row>
    <row r="43" spans="1:23" ht="20.25" customHeight="1">
      <c r="A43" s="85"/>
      <c r="B43" s="102"/>
      <c r="C43" s="86"/>
      <c r="D43" s="87"/>
      <c r="E43" s="88" t="str">
        <f>IFERROR(VLOOKUP(D43,ProductMaster!$A:$B,2,FALSE),"")</f>
        <v/>
      </c>
      <c r="F43" s="88" t="str">
        <f>IFERROR(VLOOKUP(D43,ProductMaster!$A:$C,3,FALSE),"")</f>
        <v/>
      </c>
      <c r="G43" s="89" t="str">
        <f>IFERROR(VLOOKUP($D43,ProductMaster!$A:$O,4,FALSE),"")</f>
        <v/>
      </c>
      <c r="H43" s="90"/>
      <c r="I43" s="123">
        <f>IFERROR(VLOOKUP(E43,ProductMaster!B:G,6,FALSE),0)</f>
        <v>0</v>
      </c>
      <c r="J43" s="123">
        <f t="shared" si="0"/>
        <v>0</v>
      </c>
      <c r="K43" s="123">
        <f t="shared" si="6"/>
        <v>0</v>
      </c>
      <c r="L43" s="91"/>
      <c r="M43" s="92" t="s">
        <v>127</v>
      </c>
      <c r="N43" s="92" t="s">
        <v>1711</v>
      </c>
      <c r="O43" s="93">
        <v>0</v>
      </c>
      <c r="P43" s="86" t="s">
        <v>129</v>
      </c>
      <c r="Q43" s="82">
        <f t="shared" si="2"/>
        <v>38</v>
      </c>
      <c r="R43" s="124">
        <f t="shared" ca="1" si="3"/>
        <v>0</v>
      </c>
      <c r="S43" s="83">
        <v>505042</v>
      </c>
      <c r="T43" s="124">
        <f t="shared" ca="1" si="4"/>
        <v>0</v>
      </c>
    </row>
    <row r="44" spans="1:23" ht="20.25" customHeight="1">
      <c r="A44" s="85"/>
      <c r="B44" s="102"/>
      <c r="C44" s="86"/>
      <c r="D44" s="87"/>
      <c r="E44" s="88" t="str">
        <f>IFERROR(VLOOKUP(D44,ProductMaster!$A:$B,2,FALSE),"")</f>
        <v/>
      </c>
      <c r="F44" s="88" t="str">
        <f>IFERROR(VLOOKUP(D44,ProductMaster!$A:$C,3,FALSE),"")</f>
        <v/>
      </c>
      <c r="G44" s="89" t="str">
        <f>IFERROR(VLOOKUP($D44,ProductMaster!$A:$O,4,FALSE),"")</f>
        <v/>
      </c>
      <c r="H44" s="90"/>
      <c r="I44" s="123">
        <f>IFERROR(VLOOKUP(E44,ProductMaster!B:G,6,FALSE),0)</f>
        <v>0</v>
      </c>
      <c r="J44" s="123">
        <f t="shared" si="0"/>
        <v>0</v>
      </c>
      <c r="K44" s="123">
        <f t="shared" si="6"/>
        <v>0</v>
      </c>
      <c r="L44" s="91"/>
      <c r="M44" s="92" t="s">
        <v>127</v>
      </c>
      <c r="N44" s="92" t="s">
        <v>1711</v>
      </c>
      <c r="O44" s="93">
        <v>0</v>
      </c>
      <c r="P44" s="86" t="s">
        <v>129</v>
      </c>
      <c r="Q44" s="82">
        <f t="shared" si="2"/>
        <v>39</v>
      </c>
      <c r="R44" s="124">
        <f t="shared" ca="1" si="3"/>
        <v>0</v>
      </c>
      <c r="S44" s="149">
        <v>505043</v>
      </c>
      <c r="T44" s="124">
        <f t="shared" ca="1" si="4"/>
        <v>0</v>
      </c>
    </row>
    <row r="45" spans="1:23" ht="20.25" customHeight="1">
      <c r="A45" s="85"/>
      <c r="B45" s="102"/>
      <c r="C45" s="86"/>
      <c r="D45" s="87"/>
      <c r="E45" s="88" t="str">
        <f>IFERROR(VLOOKUP(D45,ProductMaster!$A:$B,2,FALSE),"")</f>
        <v/>
      </c>
      <c r="F45" s="88" t="str">
        <f>IFERROR(VLOOKUP(D45,ProductMaster!$A:$C,3,FALSE),"")</f>
        <v/>
      </c>
      <c r="G45" s="89" t="str">
        <f>IFERROR(VLOOKUP($D45,ProductMaster!$A:$O,4,FALSE),"")</f>
        <v/>
      </c>
      <c r="H45" s="90"/>
      <c r="I45" s="123">
        <f>IFERROR(VLOOKUP(E45,ProductMaster!B:G,6,FALSE),0)</f>
        <v>0</v>
      </c>
      <c r="J45" s="123">
        <f t="shared" si="0"/>
        <v>0</v>
      </c>
      <c r="K45" s="123">
        <f t="shared" si="6"/>
        <v>0</v>
      </c>
      <c r="L45" s="91"/>
      <c r="M45" s="92" t="s">
        <v>127</v>
      </c>
      <c r="N45" s="92" t="s">
        <v>1711</v>
      </c>
      <c r="O45" s="93">
        <v>0</v>
      </c>
      <c r="P45" s="86" t="s">
        <v>129</v>
      </c>
      <c r="Q45" s="82">
        <f t="shared" si="2"/>
        <v>40</v>
      </c>
      <c r="R45" s="124">
        <f t="shared" ca="1" si="3"/>
        <v>0</v>
      </c>
      <c r="S45" s="83">
        <v>505044</v>
      </c>
      <c r="T45" s="124">
        <f t="shared" ca="1" si="4"/>
        <v>0</v>
      </c>
      <c r="V45" s="153"/>
    </row>
    <row r="46" spans="1:23" ht="20.25" customHeight="1">
      <c r="A46" s="85"/>
      <c r="B46" s="102"/>
      <c r="C46" s="86"/>
      <c r="D46" s="87"/>
      <c r="E46" s="88" t="str">
        <f>IFERROR(VLOOKUP(D46,ProductMaster!$A:$B,2,FALSE),"")</f>
        <v/>
      </c>
      <c r="F46" s="88" t="str">
        <f>IFERROR(VLOOKUP(D46,ProductMaster!$A:$C,3,FALSE),"")</f>
        <v/>
      </c>
      <c r="G46" s="89" t="str">
        <f>IFERROR(VLOOKUP($D46,ProductMaster!$A:$O,4,FALSE),"")</f>
        <v/>
      </c>
      <c r="H46" s="90"/>
      <c r="I46" s="123">
        <f>IFERROR(VLOOKUP(E46,ProductMaster!B:G,6,FALSE),0)</f>
        <v>0</v>
      </c>
      <c r="J46" s="123">
        <f t="shared" si="0"/>
        <v>0</v>
      </c>
      <c r="K46" s="123">
        <f t="shared" si="6"/>
        <v>0</v>
      </c>
      <c r="L46" s="91"/>
      <c r="M46" s="92" t="s">
        <v>127</v>
      </c>
      <c r="N46" s="92" t="s">
        <v>1711</v>
      </c>
      <c r="O46" s="93">
        <v>0</v>
      </c>
      <c r="P46" s="86" t="s">
        <v>129</v>
      </c>
      <c r="Q46" s="82">
        <f t="shared" si="2"/>
        <v>41</v>
      </c>
      <c r="R46" s="124">
        <f t="shared" ca="1" si="3"/>
        <v>0</v>
      </c>
      <c r="S46" s="149">
        <v>505045</v>
      </c>
      <c r="T46" s="124">
        <f t="shared" ca="1" si="4"/>
        <v>0</v>
      </c>
      <c r="V46" s="153"/>
      <c r="W46" s="153">
        <f>+V46-V45</f>
        <v>0</v>
      </c>
    </row>
    <row r="47" spans="1:23" ht="20.25" customHeight="1">
      <c r="A47" s="85"/>
      <c r="B47" s="102"/>
      <c r="C47" s="86"/>
      <c r="D47" s="87"/>
      <c r="E47" s="88" t="str">
        <f>IFERROR(VLOOKUP(D47,ProductMaster!$A:$B,2,FALSE),"")</f>
        <v/>
      </c>
      <c r="F47" s="88" t="str">
        <f>IFERROR(VLOOKUP(D47,ProductMaster!$A:$C,3,FALSE),"")</f>
        <v/>
      </c>
      <c r="G47" s="89" t="str">
        <f>IFERROR(VLOOKUP($D47,ProductMaster!$A:$O,4,FALSE),"")</f>
        <v/>
      </c>
      <c r="H47" s="90"/>
      <c r="I47" s="123">
        <f>IFERROR(VLOOKUP(E47,ProductMaster!B:G,6,FALSE),0)</f>
        <v>0</v>
      </c>
      <c r="J47" s="123">
        <f t="shared" si="0"/>
        <v>0</v>
      </c>
      <c r="K47" s="123">
        <f t="shared" si="6"/>
        <v>0</v>
      </c>
      <c r="L47" s="91"/>
      <c r="M47" s="92" t="s">
        <v>127</v>
      </c>
      <c r="N47" s="92" t="s">
        <v>1711</v>
      </c>
      <c r="O47" s="93">
        <v>0</v>
      </c>
      <c r="P47" s="86" t="s">
        <v>129</v>
      </c>
      <c r="Q47" s="82">
        <f t="shared" si="2"/>
        <v>42</v>
      </c>
      <c r="R47" s="124">
        <f t="shared" ca="1" si="3"/>
        <v>0</v>
      </c>
      <c r="S47" s="83">
        <v>505046</v>
      </c>
      <c r="T47" s="124">
        <f t="shared" ca="1" si="4"/>
        <v>0</v>
      </c>
    </row>
    <row r="48" spans="1:23" ht="20.25" customHeight="1">
      <c r="A48" s="85"/>
      <c r="B48" s="102"/>
      <c r="C48" s="86"/>
      <c r="D48" s="87"/>
      <c r="E48" s="88" t="str">
        <f>IFERROR(VLOOKUP(D48,ProductMaster!$A:$B,2,FALSE),"")</f>
        <v/>
      </c>
      <c r="F48" s="88" t="str">
        <f>IFERROR(VLOOKUP(D48,ProductMaster!$A:$C,3,FALSE),"")</f>
        <v/>
      </c>
      <c r="G48" s="89" t="str">
        <f>IFERROR(VLOOKUP($D48,ProductMaster!$A:$O,4,FALSE),"")</f>
        <v/>
      </c>
      <c r="H48" s="90"/>
      <c r="I48" s="123">
        <f>IFERROR(VLOOKUP(E48,ProductMaster!B:G,6,FALSE),0)</f>
        <v>0</v>
      </c>
      <c r="J48" s="123">
        <f t="shared" si="0"/>
        <v>0</v>
      </c>
      <c r="K48" s="123">
        <f t="shared" si="6"/>
        <v>0</v>
      </c>
      <c r="L48" s="91"/>
      <c r="M48" s="92" t="s">
        <v>127</v>
      </c>
      <c r="N48" s="92" t="s">
        <v>1711</v>
      </c>
      <c r="O48" s="93">
        <v>0</v>
      </c>
      <c r="P48" s="86" t="s">
        <v>129</v>
      </c>
      <c r="Q48" s="82">
        <f t="shared" si="2"/>
        <v>43</v>
      </c>
      <c r="R48" s="124">
        <f t="shared" ca="1" si="3"/>
        <v>0</v>
      </c>
      <c r="S48" s="149">
        <v>505047</v>
      </c>
      <c r="T48" s="124">
        <f t="shared" ca="1" si="4"/>
        <v>0</v>
      </c>
    </row>
    <row r="49" spans="1:20" ht="20.25" customHeight="1">
      <c r="A49" s="85"/>
      <c r="B49" s="102"/>
      <c r="C49" s="86"/>
      <c r="D49" s="87"/>
      <c r="E49" s="88" t="str">
        <f>IFERROR(VLOOKUP(D49,ProductMaster!$A:$B,2,FALSE),"")</f>
        <v/>
      </c>
      <c r="F49" s="88" t="str">
        <f>IFERROR(VLOOKUP(D49,ProductMaster!$A:$C,3,FALSE),"")</f>
        <v/>
      </c>
      <c r="G49" s="89" t="str">
        <f>IFERROR(VLOOKUP($D49,ProductMaster!$A:$O,4,FALSE),"")</f>
        <v/>
      </c>
      <c r="H49" s="90"/>
      <c r="I49" s="123">
        <f>IFERROR(VLOOKUP(E49,ProductMaster!B:G,6,FALSE),0)</f>
        <v>0</v>
      </c>
      <c r="J49" s="123">
        <f t="shared" si="0"/>
        <v>0</v>
      </c>
      <c r="K49" s="123">
        <f t="shared" si="6"/>
        <v>0</v>
      </c>
      <c r="L49" s="91"/>
      <c r="M49" s="92" t="s">
        <v>127</v>
      </c>
      <c r="N49" s="92" t="s">
        <v>1711</v>
      </c>
      <c r="O49" s="93">
        <v>0</v>
      </c>
      <c r="P49" s="86" t="s">
        <v>129</v>
      </c>
      <c r="Q49" s="82">
        <f t="shared" si="2"/>
        <v>44</v>
      </c>
      <c r="R49" s="124">
        <f t="shared" ca="1" si="3"/>
        <v>0</v>
      </c>
      <c r="S49" s="83">
        <v>505048</v>
      </c>
      <c r="T49" s="124">
        <f t="shared" ca="1" si="4"/>
        <v>0</v>
      </c>
    </row>
    <row r="50" spans="1:20" ht="20.25" customHeight="1">
      <c r="A50" s="85"/>
      <c r="B50" s="102"/>
      <c r="C50" s="86"/>
      <c r="D50" s="87"/>
      <c r="E50" s="88" t="str">
        <f>IFERROR(VLOOKUP(D50,ProductMaster!$A:$B,2,FALSE),"")</f>
        <v/>
      </c>
      <c r="F50" s="88" t="str">
        <f>IFERROR(VLOOKUP(D50,ProductMaster!$A:$C,3,FALSE),"")</f>
        <v/>
      </c>
      <c r="G50" s="89" t="str">
        <f>IFERROR(VLOOKUP($D50,ProductMaster!$A:$O,4,FALSE),"")</f>
        <v/>
      </c>
      <c r="H50" s="90"/>
      <c r="I50" s="123">
        <f>IFERROR(VLOOKUP(E50,ProductMaster!B:G,6,FALSE),0)</f>
        <v>0</v>
      </c>
      <c r="J50" s="123">
        <f t="shared" si="0"/>
        <v>0</v>
      </c>
      <c r="K50" s="123">
        <f t="shared" si="6"/>
        <v>0</v>
      </c>
      <c r="L50" s="91"/>
      <c r="M50" s="92" t="s">
        <v>127</v>
      </c>
      <c r="N50" s="92" t="s">
        <v>1711</v>
      </c>
      <c r="O50" s="93">
        <v>0</v>
      </c>
      <c r="P50" s="86" t="s">
        <v>129</v>
      </c>
      <c r="Q50" s="82">
        <f t="shared" si="2"/>
        <v>45</v>
      </c>
      <c r="R50" s="124">
        <f t="shared" ca="1" si="3"/>
        <v>0</v>
      </c>
      <c r="S50" s="149">
        <v>505049</v>
      </c>
      <c r="T50" s="124">
        <f t="shared" ca="1" si="4"/>
        <v>0</v>
      </c>
    </row>
    <row r="51" spans="1:20" ht="20.25" customHeight="1">
      <c r="A51" s="85"/>
      <c r="B51" s="102"/>
      <c r="C51" s="86"/>
      <c r="D51" s="87"/>
      <c r="E51" s="88" t="str">
        <f>IFERROR(VLOOKUP(D51,ProductMaster!$A:$B,2,FALSE),"")</f>
        <v/>
      </c>
      <c r="F51" s="88" t="str">
        <f>IFERROR(VLOOKUP(D51,ProductMaster!$A:$C,3,FALSE),"")</f>
        <v/>
      </c>
      <c r="G51" s="89" t="str">
        <f>IFERROR(VLOOKUP($D51,ProductMaster!$A:$O,4,FALSE),"")</f>
        <v/>
      </c>
      <c r="H51" s="90"/>
      <c r="I51" s="123">
        <f>IFERROR(VLOOKUP(E51,ProductMaster!B:G,6,FALSE),0)</f>
        <v>0</v>
      </c>
      <c r="J51" s="123">
        <f t="shared" si="0"/>
        <v>0</v>
      </c>
      <c r="K51" s="123">
        <f t="shared" si="6"/>
        <v>0</v>
      </c>
      <c r="L51" s="91"/>
      <c r="M51" s="92" t="s">
        <v>127</v>
      </c>
      <c r="N51" s="92" t="s">
        <v>1711</v>
      </c>
      <c r="O51" s="93">
        <v>0</v>
      </c>
      <c r="P51" s="86" t="s">
        <v>129</v>
      </c>
      <c r="Q51" s="82">
        <f t="shared" si="2"/>
        <v>46</v>
      </c>
      <c r="R51" s="124">
        <f t="shared" ca="1" si="3"/>
        <v>0</v>
      </c>
      <c r="S51" s="83">
        <v>505050</v>
      </c>
      <c r="T51" s="124">
        <f t="shared" ca="1" si="4"/>
        <v>0</v>
      </c>
    </row>
    <row r="52" spans="1:20" ht="20.25" customHeight="1">
      <c r="A52" s="85"/>
      <c r="B52" s="102"/>
      <c r="C52" s="86"/>
      <c r="D52" s="87"/>
      <c r="E52" s="88" t="str">
        <f>IFERROR(VLOOKUP(D52,ProductMaster!$A:$B,2,FALSE),"")</f>
        <v/>
      </c>
      <c r="F52" s="88" t="str">
        <f>IFERROR(VLOOKUP(D52,ProductMaster!$A:$C,3,FALSE),"")</f>
        <v/>
      </c>
      <c r="G52" s="89" t="str">
        <f>IFERROR(VLOOKUP($D52,ProductMaster!$A:$O,4,FALSE),"")</f>
        <v/>
      </c>
      <c r="H52" s="90"/>
      <c r="I52" s="123">
        <f>IFERROR(VLOOKUP(E52,ProductMaster!B:G,6,FALSE),0)</f>
        <v>0</v>
      </c>
      <c r="J52" s="123">
        <f t="shared" si="0"/>
        <v>0</v>
      </c>
      <c r="K52" s="123">
        <f t="shared" si="6"/>
        <v>0</v>
      </c>
      <c r="L52" s="148"/>
      <c r="M52" s="92" t="s">
        <v>127</v>
      </c>
      <c r="N52" s="92" t="s">
        <v>1711</v>
      </c>
      <c r="O52" s="93">
        <v>0</v>
      </c>
      <c r="P52" s="86" t="s">
        <v>129</v>
      </c>
      <c r="Q52" s="82">
        <f t="shared" si="2"/>
        <v>47</v>
      </c>
      <c r="R52" s="124">
        <f t="shared" ca="1" si="3"/>
        <v>0</v>
      </c>
      <c r="S52" s="149">
        <v>505051</v>
      </c>
      <c r="T52" s="124">
        <f t="shared" ca="1" si="4"/>
        <v>0</v>
      </c>
    </row>
    <row r="53" spans="1:20" ht="20.25" customHeight="1">
      <c r="A53" s="85"/>
      <c r="B53" s="152"/>
      <c r="C53" s="86"/>
      <c r="D53" s="87"/>
      <c r="E53" s="88" t="str">
        <f>IFERROR(VLOOKUP(D53,ProductMaster!$A:$B,2,FALSE),"")</f>
        <v/>
      </c>
      <c r="F53" s="88" t="str">
        <f>IFERROR(VLOOKUP(D53,ProductMaster!$A:$C,3,FALSE),"")</f>
        <v/>
      </c>
      <c r="G53" s="89" t="str">
        <f>IFERROR(VLOOKUP($D53,ProductMaster!$A:$O,4,FALSE),"")</f>
        <v/>
      </c>
      <c r="H53" s="90"/>
      <c r="I53" s="123">
        <f>IFERROR(VLOOKUP(E53,ProductMaster!B:G,6,FALSE),0)</f>
        <v>0</v>
      </c>
      <c r="J53" s="123">
        <f t="shared" si="0"/>
        <v>0</v>
      </c>
      <c r="K53" s="123">
        <f t="shared" si="6"/>
        <v>0</v>
      </c>
      <c r="L53" s="148"/>
      <c r="M53" s="92" t="s">
        <v>127</v>
      </c>
      <c r="N53" s="92" t="s">
        <v>1711</v>
      </c>
      <c r="O53" s="93">
        <v>0</v>
      </c>
      <c r="P53" s="86" t="s">
        <v>129</v>
      </c>
      <c r="Q53" s="82">
        <f t="shared" si="2"/>
        <v>48</v>
      </c>
      <c r="R53" s="124">
        <f t="shared" ca="1" si="3"/>
        <v>0</v>
      </c>
      <c r="S53" s="83">
        <v>505052</v>
      </c>
      <c r="T53" s="124">
        <f t="shared" ca="1" si="4"/>
        <v>0</v>
      </c>
    </row>
    <row r="54" spans="1:20" ht="20.25" customHeight="1">
      <c r="A54" s="85"/>
      <c r="B54" s="152"/>
      <c r="C54" s="86"/>
      <c r="D54" s="87"/>
      <c r="E54" s="88" t="str">
        <f>IFERROR(VLOOKUP(D54,ProductMaster!$A:$B,2,FALSE),"")</f>
        <v/>
      </c>
      <c r="F54" s="88" t="str">
        <f>IFERROR(VLOOKUP(D54,ProductMaster!$A:$C,3,FALSE),"")</f>
        <v/>
      </c>
      <c r="G54" s="89" t="str">
        <f>IFERROR(VLOOKUP($D54,ProductMaster!$A:$O,4,FALSE),"")</f>
        <v/>
      </c>
      <c r="H54" s="90"/>
      <c r="I54" s="123">
        <f>IFERROR(VLOOKUP(E54,ProductMaster!B:G,6,FALSE),0)</f>
        <v>0</v>
      </c>
      <c r="J54" s="123">
        <f t="shared" si="0"/>
        <v>0</v>
      </c>
      <c r="K54" s="123">
        <f t="shared" si="6"/>
        <v>0</v>
      </c>
      <c r="L54" s="148"/>
      <c r="M54" s="92" t="s">
        <v>127</v>
      </c>
      <c r="N54" s="92" t="s">
        <v>1711</v>
      </c>
      <c r="O54" s="93">
        <v>0</v>
      </c>
      <c r="P54" s="86" t="s">
        <v>129</v>
      </c>
      <c r="Q54" s="82">
        <f t="shared" si="2"/>
        <v>49</v>
      </c>
      <c r="R54" s="124">
        <f t="shared" ca="1" si="3"/>
        <v>0</v>
      </c>
      <c r="S54" s="149">
        <v>505053</v>
      </c>
      <c r="T54" s="124">
        <f t="shared" ca="1" si="4"/>
        <v>0</v>
      </c>
    </row>
    <row r="55" spans="1:20" ht="20.25" customHeight="1">
      <c r="A55" s="85"/>
      <c r="B55" s="152"/>
      <c r="C55" s="86"/>
      <c r="D55" s="87"/>
      <c r="E55" s="88" t="str">
        <f>IFERROR(VLOOKUP(D55,ProductMaster!$A:$B,2,FALSE),"")</f>
        <v/>
      </c>
      <c r="F55" s="88" t="str">
        <f>IFERROR(VLOOKUP(D55,ProductMaster!$A:$C,3,FALSE),"")</f>
        <v/>
      </c>
      <c r="G55" s="89" t="str">
        <f>IFERROR(VLOOKUP($D55,ProductMaster!$A:$O,4,FALSE),"")</f>
        <v/>
      </c>
      <c r="H55" s="90"/>
      <c r="I55" s="123">
        <f>IFERROR(VLOOKUP(E55,ProductMaster!B:G,6,FALSE),0)</f>
        <v>0</v>
      </c>
      <c r="J55" s="123">
        <f t="shared" si="0"/>
        <v>0</v>
      </c>
      <c r="K55" s="123">
        <f t="shared" si="6"/>
        <v>0</v>
      </c>
      <c r="L55" s="91"/>
      <c r="M55" s="92" t="s">
        <v>127</v>
      </c>
      <c r="N55" s="92" t="s">
        <v>1711</v>
      </c>
      <c r="O55" s="93">
        <v>0</v>
      </c>
      <c r="P55" s="86" t="s">
        <v>129</v>
      </c>
      <c r="Q55" s="82">
        <f t="shared" si="2"/>
        <v>50</v>
      </c>
      <c r="R55" s="124">
        <f t="shared" ca="1" si="3"/>
        <v>0</v>
      </c>
      <c r="S55" s="83">
        <v>505054</v>
      </c>
      <c r="T55" s="124">
        <f t="shared" ca="1" si="4"/>
        <v>0</v>
      </c>
    </row>
    <row r="56" spans="1:20" ht="20.25" customHeight="1">
      <c r="A56" s="85"/>
      <c r="B56" s="152"/>
      <c r="C56" s="86"/>
      <c r="D56" s="87"/>
      <c r="E56" s="88" t="str">
        <f>IFERROR(VLOOKUP(D56,ProductMaster!$A:$B,2,FALSE),"")</f>
        <v/>
      </c>
      <c r="F56" s="88" t="str">
        <f>IFERROR(VLOOKUP(D56,ProductMaster!$A:$C,3,FALSE),"")</f>
        <v/>
      </c>
      <c r="G56" s="89" t="str">
        <f>IFERROR(VLOOKUP($D56,ProductMaster!$A:$O,4,FALSE),"")</f>
        <v/>
      </c>
      <c r="H56" s="90"/>
      <c r="I56" s="123">
        <f>IFERROR(VLOOKUP(E56,ProductMaster!B:G,6,FALSE),0)</f>
        <v>0</v>
      </c>
      <c r="J56" s="123">
        <f t="shared" si="0"/>
        <v>0</v>
      </c>
      <c r="K56" s="123">
        <f t="shared" si="6"/>
        <v>0</v>
      </c>
      <c r="L56" s="91"/>
      <c r="M56" s="92" t="s">
        <v>127</v>
      </c>
      <c r="N56" s="92" t="s">
        <v>1711</v>
      </c>
      <c r="O56" s="93">
        <v>0</v>
      </c>
      <c r="P56" s="86" t="s">
        <v>129</v>
      </c>
      <c r="Q56" s="82">
        <f t="shared" si="2"/>
        <v>51</v>
      </c>
      <c r="R56" s="124">
        <f t="shared" ca="1" si="3"/>
        <v>0</v>
      </c>
      <c r="S56" s="149">
        <v>505055</v>
      </c>
      <c r="T56" s="124">
        <f t="shared" ca="1" si="4"/>
        <v>0</v>
      </c>
    </row>
    <row r="57" spans="1:20" ht="20.25" customHeight="1">
      <c r="A57" s="85"/>
      <c r="B57" s="152"/>
      <c r="C57" s="86"/>
      <c r="D57" s="87"/>
      <c r="E57" s="88" t="str">
        <f>IFERROR(VLOOKUP(D57,ProductMaster!$A:$B,2,FALSE),"")</f>
        <v/>
      </c>
      <c r="F57" s="88" t="str">
        <f>IFERROR(VLOOKUP(D57,ProductMaster!$A:$C,3,FALSE),"")</f>
        <v/>
      </c>
      <c r="G57" s="89" t="str">
        <f>IFERROR(VLOOKUP($D57,ProductMaster!$A:$O,4,FALSE),"")</f>
        <v/>
      </c>
      <c r="H57" s="90"/>
      <c r="I57" s="123">
        <f>IFERROR(VLOOKUP(E57,ProductMaster!B:G,6,FALSE),0)</f>
        <v>0</v>
      </c>
      <c r="J57" s="123">
        <f t="shared" si="0"/>
        <v>0</v>
      </c>
      <c r="K57" s="123">
        <f t="shared" si="6"/>
        <v>0</v>
      </c>
      <c r="L57" s="91"/>
      <c r="M57" s="92" t="s">
        <v>127</v>
      </c>
      <c r="N57" s="92" t="s">
        <v>1711</v>
      </c>
      <c r="O57" s="93">
        <v>0</v>
      </c>
      <c r="P57" s="86" t="s">
        <v>129</v>
      </c>
      <c r="Q57" s="82">
        <f t="shared" si="2"/>
        <v>52</v>
      </c>
      <c r="R57" s="124">
        <f t="shared" ca="1" si="3"/>
        <v>0</v>
      </c>
      <c r="S57" s="83">
        <v>505056</v>
      </c>
      <c r="T57" s="124">
        <f t="shared" ca="1" si="4"/>
        <v>0</v>
      </c>
    </row>
    <row r="58" spans="1:20" ht="20.25" customHeight="1">
      <c r="A58" s="85"/>
      <c r="B58" s="152"/>
      <c r="C58" s="86"/>
      <c r="D58" s="87"/>
      <c r="E58" s="88" t="str">
        <f>IFERROR(VLOOKUP(D58,ProductMaster!$A:$B,2,FALSE),"")</f>
        <v/>
      </c>
      <c r="F58" s="88" t="str">
        <f>IFERROR(VLOOKUP(D58,ProductMaster!$A:$C,3,FALSE),"")</f>
        <v/>
      </c>
      <c r="G58" s="89" t="str">
        <f>IFERROR(VLOOKUP($D58,ProductMaster!$A:$O,4,FALSE),"")</f>
        <v/>
      </c>
      <c r="H58" s="90"/>
      <c r="I58" s="123">
        <f>IFERROR(VLOOKUP(E58,ProductMaster!B:G,6,FALSE),0)</f>
        <v>0</v>
      </c>
      <c r="J58" s="123">
        <f t="shared" si="0"/>
        <v>0</v>
      </c>
      <c r="K58" s="123">
        <f t="shared" si="6"/>
        <v>0</v>
      </c>
      <c r="L58" s="148"/>
      <c r="M58" s="92" t="s">
        <v>127</v>
      </c>
      <c r="N58" s="92" t="s">
        <v>1711</v>
      </c>
      <c r="O58" s="93">
        <v>0</v>
      </c>
      <c r="P58" s="86" t="s">
        <v>129</v>
      </c>
      <c r="Q58" s="82">
        <f t="shared" si="2"/>
        <v>53</v>
      </c>
      <c r="R58" s="124">
        <f t="shared" ca="1" si="3"/>
        <v>0</v>
      </c>
      <c r="S58" s="149">
        <v>505057</v>
      </c>
      <c r="T58" s="124">
        <f t="shared" ca="1" si="4"/>
        <v>0</v>
      </c>
    </row>
    <row r="59" spans="1:20" ht="20.25" customHeight="1">
      <c r="A59" s="85"/>
      <c r="B59" s="152"/>
      <c r="C59" s="86"/>
      <c r="D59" s="87"/>
      <c r="E59" s="88" t="str">
        <f>IFERROR(VLOOKUP(D59,ProductMaster!$A:$B,2,FALSE),"")</f>
        <v/>
      </c>
      <c r="F59" s="88" t="str">
        <f>IFERROR(VLOOKUP(D59,ProductMaster!$A:$C,3,FALSE),"")</f>
        <v/>
      </c>
      <c r="G59" s="89" t="str">
        <f>IFERROR(VLOOKUP($D59,ProductMaster!$A:$O,4,FALSE),"")</f>
        <v/>
      </c>
      <c r="H59" s="90"/>
      <c r="I59" s="123">
        <f>IFERROR(VLOOKUP(E59,ProductMaster!B:G,6,FALSE),0)</f>
        <v>0</v>
      </c>
      <c r="J59" s="123">
        <f t="shared" si="0"/>
        <v>0</v>
      </c>
      <c r="K59" s="123">
        <f t="shared" si="6"/>
        <v>0</v>
      </c>
      <c r="L59" s="91"/>
      <c r="M59" s="92" t="s">
        <v>127</v>
      </c>
      <c r="N59" s="92" t="s">
        <v>1711</v>
      </c>
      <c r="O59" s="93">
        <v>0</v>
      </c>
      <c r="P59" s="86" t="s">
        <v>129</v>
      </c>
      <c r="Q59" s="82">
        <f t="shared" si="2"/>
        <v>54</v>
      </c>
      <c r="R59" s="124">
        <f t="shared" ca="1" si="3"/>
        <v>0</v>
      </c>
      <c r="S59" s="83">
        <v>505058</v>
      </c>
      <c r="T59" s="124">
        <f t="shared" ca="1" si="4"/>
        <v>0</v>
      </c>
    </row>
    <row r="60" spans="1:20" ht="20.25" customHeight="1">
      <c r="A60" s="85"/>
      <c r="B60" s="152"/>
      <c r="C60" s="86"/>
      <c r="D60" s="87"/>
      <c r="E60" s="88" t="str">
        <f>IFERROR(VLOOKUP(D60,ProductMaster!$A:$B,2,FALSE),"")</f>
        <v/>
      </c>
      <c r="F60" s="88" t="str">
        <f>IFERROR(VLOOKUP(D60,ProductMaster!$A:$C,3,FALSE),"")</f>
        <v/>
      </c>
      <c r="G60" s="89" t="str">
        <f>IFERROR(VLOOKUP($D60,ProductMaster!$A:$O,4,FALSE),"")</f>
        <v/>
      </c>
      <c r="H60" s="90"/>
      <c r="I60" s="123">
        <f>IFERROR(VLOOKUP(E60,ProductMaster!B:G,6,FALSE),0)</f>
        <v>0</v>
      </c>
      <c r="J60" s="123">
        <f t="shared" si="0"/>
        <v>0</v>
      </c>
      <c r="K60" s="123">
        <f t="shared" si="6"/>
        <v>0</v>
      </c>
      <c r="L60" s="91"/>
      <c r="M60" s="92" t="s">
        <v>127</v>
      </c>
      <c r="N60" s="92" t="s">
        <v>1711</v>
      </c>
      <c r="O60" s="93">
        <v>0</v>
      </c>
      <c r="P60" s="86" t="s">
        <v>129</v>
      </c>
      <c r="Q60" s="82">
        <f t="shared" si="2"/>
        <v>55</v>
      </c>
      <c r="R60" s="124">
        <f t="shared" ca="1" si="3"/>
        <v>0</v>
      </c>
      <c r="S60" s="149">
        <v>505059</v>
      </c>
      <c r="T60" s="124">
        <f t="shared" ca="1" si="4"/>
        <v>0</v>
      </c>
    </row>
    <row r="61" spans="1:20" ht="20.25" customHeight="1">
      <c r="A61" s="85"/>
      <c r="B61" s="152"/>
      <c r="C61" s="86"/>
      <c r="D61" s="87"/>
      <c r="E61" s="88" t="str">
        <f>IFERROR(VLOOKUP(D61,ProductMaster!$A:$B,2,FALSE),"")</f>
        <v/>
      </c>
      <c r="F61" s="88" t="str">
        <f>IFERROR(VLOOKUP(D61,ProductMaster!$A:$C,3,FALSE),"")</f>
        <v/>
      </c>
      <c r="G61" s="89" t="str">
        <f>IFERROR(VLOOKUP($D61,ProductMaster!$A:$O,4,FALSE),"")</f>
        <v/>
      </c>
      <c r="H61" s="90"/>
      <c r="I61" s="123">
        <f>IFERROR(VLOOKUP(E61,ProductMaster!B:G,6,FALSE),0)</f>
        <v>0</v>
      </c>
      <c r="J61" s="123">
        <f t="shared" si="0"/>
        <v>0</v>
      </c>
      <c r="K61" s="123">
        <f t="shared" si="6"/>
        <v>0</v>
      </c>
      <c r="L61" s="91"/>
      <c r="M61" s="92" t="s">
        <v>127</v>
      </c>
      <c r="N61" s="92" t="s">
        <v>1711</v>
      </c>
      <c r="O61" s="93">
        <v>0</v>
      </c>
      <c r="P61" s="86" t="s">
        <v>129</v>
      </c>
      <c r="Q61" s="82">
        <f t="shared" si="2"/>
        <v>56</v>
      </c>
      <c r="R61" s="124">
        <f t="shared" ca="1" si="3"/>
        <v>0</v>
      </c>
      <c r="S61" s="83">
        <v>505060</v>
      </c>
      <c r="T61" s="124">
        <f t="shared" ca="1" si="4"/>
        <v>0</v>
      </c>
    </row>
    <row r="62" spans="1:20" ht="20.25" customHeight="1">
      <c r="A62" s="85"/>
      <c r="B62" s="152"/>
      <c r="C62" s="86"/>
      <c r="D62" s="87"/>
      <c r="E62" s="88" t="str">
        <f>IFERROR(VLOOKUP(D62,ProductMaster!$A:$B,2,FALSE),"")</f>
        <v/>
      </c>
      <c r="F62" s="88" t="str">
        <f>IFERROR(VLOOKUP(D62,ProductMaster!$A:$C,3,FALSE),"")</f>
        <v/>
      </c>
      <c r="G62" s="89" t="str">
        <f>IFERROR(VLOOKUP($D62,ProductMaster!$A:$O,4,FALSE),"")</f>
        <v/>
      </c>
      <c r="H62" s="90"/>
      <c r="I62" s="123">
        <f>IFERROR(VLOOKUP(E62,ProductMaster!B:G,6,FALSE),0)</f>
        <v>0</v>
      </c>
      <c r="J62" s="123">
        <f t="shared" si="0"/>
        <v>0</v>
      </c>
      <c r="K62" s="123">
        <f t="shared" si="6"/>
        <v>0</v>
      </c>
      <c r="L62" s="91"/>
      <c r="M62" s="92" t="s">
        <v>127</v>
      </c>
      <c r="N62" s="92" t="s">
        <v>1711</v>
      </c>
      <c r="O62" s="93">
        <v>0</v>
      </c>
      <c r="P62" s="86" t="s">
        <v>129</v>
      </c>
      <c r="Q62" s="82">
        <f t="shared" si="2"/>
        <v>57</v>
      </c>
      <c r="R62" s="124">
        <f t="shared" ca="1" si="3"/>
        <v>0</v>
      </c>
      <c r="S62" s="149">
        <v>505061</v>
      </c>
      <c r="T62" s="124">
        <f t="shared" ca="1" si="4"/>
        <v>0</v>
      </c>
    </row>
    <row r="63" spans="1:20" ht="20.25" customHeight="1">
      <c r="A63" s="85"/>
      <c r="B63" s="152"/>
      <c r="C63" s="86"/>
      <c r="D63" s="87"/>
      <c r="E63" s="88" t="str">
        <f>IFERROR(VLOOKUP(D63,ProductMaster!$A:$B,2,FALSE),"")</f>
        <v/>
      </c>
      <c r="F63" s="88" t="str">
        <f>IFERROR(VLOOKUP(D63,ProductMaster!$A:$C,3,FALSE),"")</f>
        <v/>
      </c>
      <c r="G63" s="89" t="str">
        <f>IFERROR(VLOOKUP($D63,ProductMaster!$A:$O,4,FALSE),"")</f>
        <v/>
      </c>
      <c r="H63" s="90"/>
      <c r="I63" s="123">
        <f>IFERROR(VLOOKUP(E63,ProductMaster!B:G,6,FALSE),0)</f>
        <v>0</v>
      </c>
      <c r="J63" s="123">
        <f t="shared" si="0"/>
        <v>0</v>
      </c>
      <c r="K63" s="123">
        <f t="shared" si="6"/>
        <v>0</v>
      </c>
      <c r="L63" s="91"/>
      <c r="M63" s="92" t="s">
        <v>127</v>
      </c>
      <c r="N63" s="92" t="s">
        <v>1711</v>
      </c>
      <c r="O63" s="93"/>
      <c r="P63" s="86" t="s">
        <v>129</v>
      </c>
      <c r="Q63" s="82">
        <f t="shared" si="2"/>
        <v>58</v>
      </c>
    </row>
    <row r="64" spans="1:20" ht="20.25" customHeight="1">
      <c r="A64" s="85"/>
      <c r="B64" s="152"/>
      <c r="C64" s="86"/>
      <c r="D64" s="87"/>
      <c r="E64" s="88" t="str">
        <f>IFERROR(VLOOKUP(D64,ProductMaster!$A:$B,2,FALSE),"")</f>
        <v/>
      </c>
      <c r="F64" s="88" t="str">
        <f>IFERROR(VLOOKUP(D64,ProductMaster!$A:$C,3,FALSE),"")</f>
        <v/>
      </c>
      <c r="G64" s="89" t="str">
        <f>IFERROR(VLOOKUP($D64,ProductMaster!$A:$O,4,FALSE),"")</f>
        <v/>
      </c>
      <c r="H64" s="90"/>
      <c r="I64" s="123">
        <f>IFERROR(VLOOKUP(E64,ProductMaster!B:G,6,FALSE),0)</f>
        <v>0</v>
      </c>
      <c r="J64" s="123">
        <f t="shared" si="0"/>
        <v>0</v>
      </c>
      <c r="K64" s="123">
        <f t="shared" si="6"/>
        <v>0</v>
      </c>
      <c r="L64" s="91"/>
      <c r="M64" s="92" t="s">
        <v>127</v>
      </c>
      <c r="N64" s="92" t="s">
        <v>1711</v>
      </c>
      <c r="O64" s="93">
        <v>0</v>
      </c>
      <c r="P64" s="86" t="s">
        <v>129</v>
      </c>
      <c r="Q64" s="82">
        <f t="shared" si="2"/>
        <v>59</v>
      </c>
    </row>
    <row r="65" spans="1:18" ht="20.25" customHeight="1">
      <c r="A65" s="85"/>
      <c r="B65" s="152"/>
      <c r="C65" s="86"/>
      <c r="D65" s="87"/>
      <c r="E65" s="88" t="str">
        <f>IFERROR(VLOOKUP(D65,ProductMaster!$A:$B,2,FALSE),"")</f>
        <v/>
      </c>
      <c r="F65" s="88" t="str">
        <f>IFERROR(VLOOKUP(D65,ProductMaster!$A:$C,3,FALSE),"")</f>
        <v/>
      </c>
      <c r="G65" s="89" t="str">
        <f>IFERROR(VLOOKUP($D65,ProductMaster!$A:$O,4,FALSE),"")</f>
        <v/>
      </c>
      <c r="H65" s="90"/>
      <c r="I65" s="123">
        <f>IFERROR(VLOOKUP(E65,ProductMaster!B:G,6,FALSE),0)</f>
        <v>0</v>
      </c>
      <c r="J65" s="123">
        <f t="shared" si="0"/>
        <v>0</v>
      </c>
      <c r="K65" s="123">
        <f t="shared" si="6"/>
        <v>0</v>
      </c>
      <c r="L65" s="91"/>
      <c r="M65" s="92" t="s">
        <v>127</v>
      </c>
      <c r="N65" s="92" t="s">
        <v>1711</v>
      </c>
      <c r="O65" s="93">
        <v>0</v>
      </c>
      <c r="P65" s="86" t="s">
        <v>129</v>
      </c>
      <c r="Q65" s="82">
        <f t="shared" si="2"/>
        <v>60</v>
      </c>
    </row>
    <row r="66" spans="1:18" ht="20.25" customHeight="1">
      <c r="A66" s="85"/>
      <c r="B66" s="152"/>
      <c r="C66" s="86"/>
      <c r="D66" s="87"/>
      <c r="E66" s="88" t="str">
        <f>IFERROR(VLOOKUP(D66,ProductMaster!$A:$B,2,FALSE),"")</f>
        <v/>
      </c>
      <c r="F66" s="88" t="str">
        <f>IFERROR(VLOOKUP(D66,ProductMaster!$A:$C,3,FALSE),"")</f>
        <v/>
      </c>
      <c r="G66" s="89" t="str">
        <f>IFERROR(VLOOKUP($D66,ProductMaster!$A:$O,4,FALSE),"")</f>
        <v/>
      </c>
      <c r="H66" s="90"/>
      <c r="I66" s="123">
        <f>IFERROR(VLOOKUP(E66,ProductMaster!B:G,6,FALSE),0)</f>
        <v>0</v>
      </c>
      <c r="J66" s="123">
        <f t="shared" si="0"/>
        <v>0</v>
      </c>
      <c r="K66" s="123">
        <f t="shared" si="6"/>
        <v>0</v>
      </c>
      <c r="L66" s="91"/>
      <c r="M66" s="92" t="s">
        <v>127</v>
      </c>
      <c r="N66" s="92" t="s">
        <v>1711</v>
      </c>
      <c r="O66" s="93">
        <v>0</v>
      </c>
      <c r="P66" s="86" t="s">
        <v>129</v>
      </c>
      <c r="Q66" s="82">
        <f t="shared" si="2"/>
        <v>61</v>
      </c>
    </row>
    <row r="67" spans="1:18" ht="20.25" customHeight="1">
      <c r="A67" s="85"/>
      <c r="B67" s="152"/>
      <c r="C67" s="86"/>
      <c r="D67" s="87"/>
      <c r="E67" s="88" t="str">
        <f>IFERROR(VLOOKUP(D67,ProductMaster!$A:$B,2,FALSE),"")</f>
        <v/>
      </c>
      <c r="F67" s="88" t="str">
        <f>IFERROR(VLOOKUP(D67,ProductMaster!$A:$C,3,FALSE),"")</f>
        <v/>
      </c>
      <c r="G67" s="89" t="str">
        <f>IFERROR(VLOOKUP($D67,ProductMaster!$A:$O,4,FALSE),"")</f>
        <v/>
      </c>
      <c r="H67" s="90"/>
      <c r="I67" s="123">
        <f>IFERROR(VLOOKUP(E67,ProductMaster!B:G,6,FALSE),0)</f>
        <v>0</v>
      </c>
      <c r="J67" s="123">
        <f t="shared" ref="J67:J130" si="7">ROUND(SUM(I67*7%),2)</f>
        <v>0</v>
      </c>
      <c r="K67" s="123">
        <f t="shared" si="5"/>
        <v>0</v>
      </c>
      <c r="L67" s="91"/>
      <c r="M67" s="92" t="s">
        <v>127</v>
      </c>
      <c r="N67" s="92" t="s">
        <v>1711</v>
      </c>
      <c r="O67" s="93">
        <v>0</v>
      </c>
      <c r="P67" s="86" t="s">
        <v>129</v>
      </c>
      <c r="Q67" s="82">
        <f t="shared" ref="Q67:Q130" si="8">IF(B67=B66,Q66+1,1)</f>
        <v>62</v>
      </c>
    </row>
    <row r="68" spans="1:18" ht="20.25" customHeight="1">
      <c r="A68" s="85"/>
      <c r="B68" s="152"/>
      <c r="C68" s="86"/>
      <c r="D68" s="87"/>
      <c r="E68" s="88" t="str">
        <f>IFERROR(VLOOKUP(D68,ProductMaster!$A:$B,2,FALSE),"")</f>
        <v/>
      </c>
      <c r="F68" s="88" t="str">
        <f>IFERROR(VLOOKUP(D68,ProductMaster!$A:$C,3,FALSE),"")</f>
        <v/>
      </c>
      <c r="G68" s="89" t="str">
        <f>IFERROR(VLOOKUP($D68,ProductMaster!$A:$O,4,FALSE),"")</f>
        <v/>
      </c>
      <c r="H68" s="90"/>
      <c r="I68" s="123">
        <f>IFERROR(VLOOKUP(E68,ProductMaster!B:G,6,FALSE),0)</f>
        <v>0</v>
      </c>
      <c r="J68" s="123">
        <f t="shared" si="7"/>
        <v>0</v>
      </c>
      <c r="K68" s="123">
        <f t="shared" si="5"/>
        <v>0</v>
      </c>
      <c r="L68" s="148"/>
      <c r="M68" s="92" t="s">
        <v>127</v>
      </c>
      <c r="N68" s="92" t="s">
        <v>1711</v>
      </c>
      <c r="O68" s="93">
        <v>0</v>
      </c>
      <c r="P68" s="86" t="s">
        <v>129</v>
      </c>
      <c r="Q68" s="82">
        <f t="shared" si="8"/>
        <v>63</v>
      </c>
    </row>
    <row r="69" spans="1:18" ht="20.25" customHeight="1">
      <c r="A69" s="85"/>
      <c r="B69" s="152"/>
      <c r="C69" s="86"/>
      <c r="D69" s="87"/>
      <c r="E69" s="88" t="str">
        <f>IFERROR(VLOOKUP(D69,ProductMaster!$A:$B,2,FALSE),"")</f>
        <v/>
      </c>
      <c r="F69" s="88" t="str">
        <f>IFERROR(VLOOKUP(D69,ProductMaster!$A:$C,3,FALSE),"")</f>
        <v/>
      </c>
      <c r="G69" s="89" t="str">
        <f>IFERROR(VLOOKUP($D69,ProductMaster!$A:$O,4,FALSE),"")</f>
        <v/>
      </c>
      <c r="H69" s="90"/>
      <c r="I69" s="123">
        <f>IFERROR(VLOOKUP(E69,ProductMaster!B:G,6,FALSE),0)</f>
        <v>0</v>
      </c>
      <c r="J69" s="123">
        <f t="shared" si="7"/>
        <v>0</v>
      </c>
      <c r="K69" s="123">
        <f t="shared" si="5"/>
        <v>0</v>
      </c>
      <c r="L69" s="91"/>
      <c r="M69" s="92" t="s">
        <v>127</v>
      </c>
      <c r="N69" s="92" t="s">
        <v>1711</v>
      </c>
      <c r="O69" s="93">
        <v>0</v>
      </c>
      <c r="P69" s="86" t="s">
        <v>129</v>
      </c>
      <c r="Q69" s="82">
        <f t="shared" si="8"/>
        <v>64</v>
      </c>
    </row>
    <row r="70" spans="1:18" ht="20.25" customHeight="1">
      <c r="A70" s="85"/>
      <c r="B70" s="152"/>
      <c r="C70" s="86"/>
      <c r="D70" s="87"/>
      <c r="E70" s="88" t="str">
        <f>IFERROR(VLOOKUP(D70,ProductMaster!$A:$B,2,FALSE),"")</f>
        <v/>
      </c>
      <c r="F70" s="88" t="str">
        <f>IFERROR(VLOOKUP(D70,ProductMaster!$A:$C,3,FALSE),"")</f>
        <v/>
      </c>
      <c r="G70" s="89" t="str">
        <f>IFERROR(VLOOKUP($D70,ProductMaster!$A:$O,4,FALSE),"")</f>
        <v/>
      </c>
      <c r="H70" s="90"/>
      <c r="I70" s="123">
        <f>IFERROR(VLOOKUP(E70,ProductMaster!B:G,6,FALSE),0)</f>
        <v>0</v>
      </c>
      <c r="J70" s="123">
        <f t="shared" si="7"/>
        <v>0</v>
      </c>
      <c r="K70" s="123">
        <f t="shared" si="5"/>
        <v>0</v>
      </c>
      <c r="L70" s="91"/>
      <c r="M70" s="92" t="s">
        <v>127</v>
      </c>
      <c r="N70" s="92" t="s">
        <v>1711</v>
      </c>
      <c r="O70" s="93">
        <v>0</v>
      </c>
      <c r="P70" s="86" t="s">
        <v>129</v>
      </c>
      <c r="Q70" s="82">
        <f t="shared" si="8"/>
        <v>65</v>
      </c>
    </row>
    <row r="71" spans="1:18" ht="20.25" customHeight="1">
      <c r="A71" s="85"/>
      <c r="B71" s="152"/>
      <c r="C71" s="86"/>
      <c r="D71" s="87"/>
      <c r="E71" s="88" t="str">
        <f>IFERROR(VLOOKUP(D71,ProductMaster!$A:$B,2,FALSE),"")</f>
        <v/>
      </c>
      <c r="F71" s="88" t="str">
        <f>IFERROR(VLOOKUP(D71,ProductMaster!$A:$C,3,FALSE),"")</f>
        <v/>
      </c>
      <c r="G71" s="89" t="str">
        <f>IFERROR(VLOOKUP($D71,ProductMaster!$A:$O,4,FALSE),"")</f>
        <v/>
      </c>
      <c r="H71" s="90"/>
      <c r="I71" s="123">
        <f>IFERROR(VLOOKUP(E71,ProductMaster!B:G,6,FALSE),0)</f>
        <v>0</v>
      </c>
      <c r="J71" s="123">
        <f t="shared" si="7"/>
        <v>0</v>
      </c>
      <c r="K71" s="123">
        <f t="shared" si="5"/>
        <v>0</v>
      </c>
      <c r="L71" s="91"/>
      <c r="M71" s="92" t="s">
        <v>127</v>
      </c>
      <c r="N71" s="92" t="s">
        <v>1711</v>
      </c>
      <c r="O71" s="93">
        <v>0</v>
      </c>
      <c r="P71" s="86" t="s">
        <v>129</v>
      </c>
      <c r="Q71" s="82">
        <f t="shared" si="8"/>
        <v>66</v>
      </c>
    </row>
    <row r="72" spans="1:18" ht="20.25" customHeight="1">
      <c r="A72" s="85"/>
      <c r="B72" s="152"/>
      <c r="C72" s="86"/>
      <c r="D72" s="87"/>
      <c r="E72" s="88" t="str">
        <f>IFERROR(VLOOKUP(D72,ProductMaster!$A:$B,2,FALSE),"")</f>
        <v/>
      </c>
      <c r="F72" s="88" t="str">
        <f>IFERROR(VLOOKUP(D72,ProductMaster!$A:$C,3,FALSE),"")</f>
        <v/>
      </c>
      <c r="G72" s="89" t="str">
        <f>IFERROR(VLOOKUP($D72,ProductMaster!$A:$O,4,FALSE),"")</f>
        <v/>
      </c>
      <c r="H72" s="90"/>
      <c r="I72" s="123">
        <f>IFERROR(VLOOKUP(E72,ProductMaster!B:G,6,FALSE),0)</f>
        <v>0</v>
      </c>
      <c r="J72" s="123">
        <f t="shared" si="7"/>
        <v>0</v>
      </c>
      <c r="K72" s="123">
        <f t="shared" si="5"/>
        <v>0</v>
      </c>
      <c r="L72" s="91"/>
      <c r="M72" s="92" t="s">
        <v>127</v>
      </c>
      <c r="N72" s="92" t="s">
        <v>1711</v>
      </c>
      <c r="O72" s="93">
        <v>0</v>
      </c>
      <c r="P72" s="86" t="s">
        <v>129</v>
      </c>
      <c r="Q72" s="82">
        <f t="shared" si="8"/>
        <v>67</v>
      </c>
    </row>
    <row r="73" spans="1:18" ht="20.25" customHeight="1">
      <c r="A73" s="85"/>
      <c r="B73" s="152"/>
      <c r="C73" s="86"/>
      <c r="D73" s="87"/>
      <c r="E73" s="88" t="str">
        <f>IFERROR(VLOOKUP(D73,ProductMaster!$A:$B,2,FALSE),"")</f>
        <v/>
      </c>
      <c r="F73" s="88" t="str">
        <f>IFERROR(VLOOKUP(D73,ProductMaster!$A:$C,3,FALSE),"")</f>
        <v/>
      </c>
      <c r="G73" s="89" t="str">
        <f>IFERROR(VLOOKUP($D73,ProductMaster!$A:$O,4,FALSE),"")</f>
        <v/>
      </c>
      <c r="H73" s="90"/>
      <c r="I73" s="123">
        <f>IFERROR(VLOOKUP(E73,ProductMaster!B:G,6,FALSE),0)</f>
        <v>0</v>
      </c>
      <c r="J73" s="123">
        <f t="shared" si="7"/>
        <v>0</v>
      </c>
      <c r="K73" s="123">
        <f t="shared" si="5"/>
        <v>0</v>
      </c>
      <c r="L73" s="91"/>
      <c r="M73" s="92" t="s">
        <v>127</v>
      </c>
      <c r="N73" s="92" t="s">
        <v>1711</v>
      </c>
      <c r="O73" s="93">
        <v>0</v>
      </c>
      <c r="P73" s="86" t="s">
        <v>129</v>
      </c>
      <c r="Q73" s="82">
        <f t="shared" si="8"/>
        <v>68</v>
      </c>
      <c r="R73" s="151"/>
    </row>
    <row r="74" spans="1:18" ht="20.25" customHeight="1">
      <c r="A74" s="85"/>
      <c r="B74" s="152"/>
      <c r="C74" s="86"/>
      <c r="D74" s="87"/>
      <c r="E74" s="88" t="str">
        <f>IFERROR(VLOOKUP(D74,ProductMaster!$A:$B,2,FALSE),"")</f>
        <v/>
      </c>
      <c r="F74" s="88" t="str">
        <f>IFERROR(VLOOKUP(D74,ProductMaster!$A:$C,3,FALSE),"")</f>
        <v/>
      </c>
      <c r="G74" s="89" t="str">
        <f>IFERROR(VLOOKUP($D74,ProductMaster!$A:$O,4,FALSE),"")</f>
        <v/>
      </c>
      <c r="H74" s="90"/>
      <c r="I74" s="123">
        <f>IFERROR(VLOOKUP(E74,ProductMaster!B:G,6,FALSE),0)</f>
        <v>0</v>
      </c>
      <c r="J74" s="123">
        <f t="shared" si="7"/>
        <v>0</v>
      </c>
      <c r="K74" s="123">
        <f t="shared" si="5"/>
        <v>0</v>
      </c>
      <c r="L74" s="91"/>
      <c r="M74" s="92" t="s">
        <v>127</v>
      </c>
      <c r="N74" s="92" t="s">
        <v>1711</v>
      </c>
      <c r="O74" s="93">
        <v>0</v>
      </c>
      <c r="P74" s="86" t="s">
        <v>129</v>
      </c>
      <c r="Q74" s="82">
        <f t="shared" si="8"/>
        <v>69</v>
      </c>
    </row>
    <row r="75" spans="1:18" ht="20.25" customHeight="1">
      <c r="A75" s="85"/>
      <c r="B75" s="152"/>
      <c r="C75" s="86"/>
      <c r="D75" s="87"/>
      <c r="E75" s="88" t="str">
        <f>IFERROR(VLOOKUP(D75,ProductMaster!$A:$B,2,FALSE),"")</f>
        <v/>
      </c>
      <c r="F75" s="88" t="str">
        <f>IFERROR(VLOOKUP(D75,ProductMaster!$A:$C,3,FALSE),"")</f>
        <v/>
      </c>
      <c r="G75" s="89" t="str">
        <f>IFERROR(VLOOKUP($D75,ProductMaster!$A:$O,4,FALSE),"")</f>
        <v/>
      </c>
      <c r="H75" s="90"/>
      <c r="I75" s="123">
        <f>IFERROR(VLOOKUP(E75,ProductMaster!B:G,6,FALSE),0)</f>
        <v>0</v>
      </c>
      <c r="J75" s="123">
        <f t="shared" si="7"/>
        <v>0</v>
      </c>
      <c r="K75" s="123">
        <f t="shared" si="5"/>
        <v>0</v>
      </c>
      <c r="L75" s="91"/>
      <c r="M75" s="92" t="s">
        <v>127</v>
      </c>
      <c r="N75" s="92" t="s">
        <v>1711</v>
      </c>
      <c r="O75" s="93">
        <v>0</v>
      </c>
      <c r="P75" s="86" t="s">
        <v>129</v>
      </c>
      <c r="Q75" s="82">
        <f t="shared" si="8"/>
        <v>70</v>
      </c>
    </row>
    <row r="76" spans="1:18" ht="20.25" customHeight="1">
      <c r="A76" s="85"/>
      <c r="B76" s="152"/>
      <c r="C76" s="86"/>
      <c r="D76" s="87"/>
      <c r="E76" s="88" t="str">
        <f>IFERROR(VLOOKUP(D76,ProductMaster!$A:$B,2,FALSE),"")</f>
        <v/>
      </c>
      <c r="F76" s="88" t="str">
        <f>IFERROR(VLOOKUP(D76,ProductMaster!$A:$C,3,FALSE),"")</f>
        <v/>
      </c>
      <c r="G76" s="89" t="str">
        <f>IFERROR(VLOOKUP($D76,ProductMaster!$A:$O,4,FALSE),"")</f>
        <v/>
      </c>
      <c r="H76" s="90"/>
      <c r="I76" s="123">
        <f>IFERROR(VLOOKUP(E76,ProductMaster!B:G,6,FALSE),0)</f>
        <v>0</v>
      </c>
      <c r="J76" s="123">
        <f t="shared" si="7"/>
        <v>0</v>
      </c>
      <c r="K76" s="123">
        <f t="shared" si="5"/>
        <v>0</v>
      </c>
      <c r="L76" s="91"/>
      <c r="M76" s="92" t="s">
        <v>127</v>
      </c>
      <c r="N76" s="92" t="s">
        <v>1711</v>
      </c>
      <c r="O76" s="93">
        <v>0</v>
      </c>
      <c r="P76" s="86" t="s">
        <v>129</v>
      </c>
      <c r="Q76" s="82">
        <f t="shared" si="8"/>
        <v>71</v>
      </c>
    </row>
    <row r="77" spans="1:18" ht="20.25" customHeight="1">
      <c r="A77" s="85"/>
      <c r="B77" s="152"/>
      <c r="C77" s="86"/>
      <c r="D77" s="87"/>
      <c r="E77" s="88" t="str">
        <f>IFERROR(VLOOKUP(D77,ProductMaster!$A:$B,2,FALSE),"")</f>
        <v/>
      </c>
      <c r="F77" s="88" t="str">
        <f>IFERROR(VLOOKUP(D77,ProductMaster!$A:$C,3,FALSE),"")</f>
        <v/>
      </c>
      <c r="G77" s="89" t="str">
        <f>IFERROR(VLOOKUP($D77,ProductMaster!$A:$O,4,FALSE),"")</f>
        <v/>
      </c>
      <c r="H77" s="90"/>
      <c r="I77" s="123">
        <f>IFERROR(VLOOKUP(E77,ProductMaster!B:G,6,FALSE),0)</f>
        <v>0</v>
      </c>
      <c r="J77" s="123">
        <f t="shared" si="7"/>
        <v>0</v>
      </c>
      <c r="K77" s="123">
        <f t="shared" si="5"/>
        <v>0</v>
      </c>
      <c r="L77" s="91"/>
      <c r="M77" s="92" t="s">
        <v>127</v>
      </c>
      <c r="N77" s="92" t="s">
        <v>1711</v>
      </c>
      <c r="O77" s="93">
        <v>0</v>
      </c>
      <c r="P77" s="86" t="s">
        <v>129</v>
      </c>
      <c r="Q77" s="82">
        <f t="shared" si="8"/>
        <v>72</v>
      </c>
    </row>
    <row r="78" spans="1:18" ht="20.25" customHeight="1">
      <c r="A78" s="85"/>
      <c r="B78" s="152"/>
      <c r="C78" s="86"/>
      <c r="D78" s="87"/>
      <c r="E78" s="88" t="str">
        <f>IFERROR(VLOOKUP(D78,ProductMaster!$A:$B,2,FALSE),"")</f>
        <v/>
      </c>
      <c r="F78" s="88" t="str">
        <f>IFERROR(VLOOKUP(D78,ProductMaster!$A:$C,3,FALSE),"")</f>
        <v/>
      </c>
      <c r="G78" s="89" t="str">
        <f>IFERROR(VLOOKUP($D78,ProductMaster!$A:$O,4,FALSE),"")</f>
        <v/>
      </c>
      <c r="H78" s="90"/>
      <c r="I78" s="123">
        <f>IFERROR(VLOOKUP(E78,ProductMaster!B:G,6,FALSE),0)</f>
        <v>0</v>
      </c>
      <c r="J78" s="123">
        <f t="shared" si="7"/>
        <v>0</v>
      </c>
      <c r="K78" s="123">
        <f t="shared" si="5"/>
        <v>0</v>
      </c>
      <c r="L78" s="91"/>
      <c r="M78" s="92" t="s">
        <v>127</v>
      </c>
      <c r="N78" s="92" t="s">
        <v>1711</v>
      </c>
      <c r="O78" s="93">
        <v>0</v>
      </c>
      <c r="P78" s="86" t="s">
        <v>129</v>
      </c>
      <c r="Q78" s="82">
        <f t="shared" si="8"/>
        <v>73</v>
      </c>
    </row>
    <row r="79" spans="1:18" ht="20.25" customHeight="1">
      <c r="A79" s="85"/>
      <c r="B79" s="152"/>
      <c r="C79" s="86"/>
      <c r="D79" s="87"/>
      <c r="E79" s="88" t="str">
        <f>IFERROR(VLOOKUP(D79,ProductMaster!$A:$B,2,FALSE),"")</f>
        <v/>
      </c>
      <c r="F79" s="88" t="str">
        <f>IFERROR(VLOOKUP(D79,ProductMaster!$A:$C,3,FALSE),"")</f>
        <v/>
      </c>
      <c r="G79" s="89" t="str">
        <f>IFERROR(VLOOKUP($D79,ProductMaster!$A:$O,4,FALSE),"")</f>
        <v/>
      </c>
      <c r="H79" s="90"/>
      <c r="I79" s="123">
        <f>IFERROR(VLOOKUP(E79,ProductMaster!B:G,6,FALSE),0)</f>
        <v>0</v>
      </c>
      <c r="J79" s="123">
        <f t="shared" si="7"/>
        <v>0</v>
      </c>
      <c r="K79" s="123">
        <f t="shared" si="5"/>
        <v>0</v>
      </c>
      <c r="L79" s="91"/>
      <c r="M79" s="92" t="s">
        <v>127</v>
      </c>
      <c r="N79" s="92" t="s">
        <v>1711</v>
      </c>
      <c r="O79" s="93">
        <v>0</v>
      </c>
      <c r="P79" s="86" t="s">
        <v>129</v>
      </c>
      <c r="Q79" s="82">
        <f t="shared" si="8"/>
        <v>74</v>
      </c>
    </row>
    <row r="80" spans="1:18" ht="20.25" customHeight="1">
      <c r="A80" s="85"/>
      <c r="B80" s="152"/>
      <c r="C80" s="86"/>
      <c r="D80" s="87"/>
      <c r="E80" s="88" t="str">
        <f>IFERROR(VLOOKUP(D80,ProductMaster!$A:$B,2,FALSE),"")</f>
        <v/>
      </c>
      <c r="F80" s="88" t="str">
        <f>IFERROR(VLOOKUP(D80,ProductMaster!$A:$C,3,FALSE),"")</f>
        <v/>
      </c>
      <c r="G80" s="89" t="str">
        <f>IFERROR(VLOOKUP($D80,ProductMaster!$A:$O,4,FALSE),"")</f>
        <v/>
      </c>
      <c r="H80" s="90"/>
      <c r="I80" s="123">
        <f>IFERROR(VLOOKUP(E80,ProductMaster!B:G,6,FALSE),0)</f>
        <v>0</v>
      </c>
      <c r="J80" s="123">
        <f t="shared" si="7"/>
        <v>0</v>
      </c>
      <c r="K80" s="123">
        <f t="shared" si="5"/>
        <v>0</v>
      </c>
      <c r="L80" s="91"/>
      <c r="M80" s="92" t="s">
        <v>127</v>
      </c>
      <c r="N80" s="92" t="s">
        <v>1711</v>
      </c>
      <c r="O80" s="93">
        <v>0</v>
      </c>
      <c r="P80" s="86" t="s">
        <v>129</v>
      </c>
      <c r="Q80" s="82">
        <f t="shared" si="8"/>
        <v>75</v>
      </c>
    </row>
    <row r="81" spans="1:65" ht="20.25" customHeight="1">
      <c r="A81" s="85"/>
      <c r="B81" s="152"/>
      <c r="C81" s="86"/>
      <c r="D81" s="87"/>
      <c r="E81" s="88" t="str">
        <f>IFERROR(VLOOKUP(D81,ProductMaster!$A:$B,2,FALSE),"")</f>
        <v/>
      </c>
      <c r="F81" s="88" t="str">
        <f>IFERROR(VLOOKUP(D81,ProductMaster!$A:$C,3,FALSE),"")</f>
        <v/>
      </c>
      <c r="G81" s="89" t="str">
        <f>IFERROR(VLOOKUP($D81,ProductMaster!$A:$O,4,FALSE),"")</f>
        <v/>
      </c>
      <c r="H81" s="90"/>
      <c r="I81" s="123">
        <f>IFERROR(VLOOKUP(E81,ProductMaster!B:G,6,FALSE),0)</f>
        <v>0</v>
      </c>
      <c r="J81" s="123">
        <f t="shared" si="7"/>
        <v>0</v>
      </c>
      <c r="K81" s="123">
        <f t="shared" ref="K81:K144" si="9">ROUND(SUM(H81*I81),2)</f>
        <v>0</v>
      </c>
      <c r="L81" s="91"/>
      <c r="M81" s="92" t="s">
        <v>127</v>
      </c>
      <c r="N81" s="92" t="s">
        <v>1711</v>
      </c>
      <c r="O81" s="93">
        <v>0</v>
      </c>
      <c r="P81" s="86" t="s">
        <v>129</v>
      </c>
      <c r="Q81" s="82">
        <f t="shared" si="8"/>
        <v>76</v>
      </c>
    </row>
    <row r="82" spans="1:65" ht="20.25" customHeight="1">
      <c r="A82" s="85"/>
      <c r="B82" s="152"/>
      <c r="C82" s="86"/>
      <c r="D82" s="87"/>
      <c r="E82" s="88" t="str">
        <f>IFERROR(VLOOKUP(D82,ProductMaster!$A:$B,2,FALSE),"")</f>
        <v/>
      </c>
      <c r="F82" s="88" t="str">
        <f>IFERROR(VLOOKUP(D82,ProductMaster!$A:$C,3,FALSE),"")</f>
        <v/>
      </c>
      <c r="G82" s="89" t="str">
        <f>IFERROR(VLOOKUP($D82,ProductMaster!$A:$O,4,FALSE),"")</f>
        <v/>
      </c>
      <c r="H82" s="90"/>
      <c r="I82" s="123">
        <f>IFERROR(VLOOKUP(E82,ProductMaster!B:G,6,FALSE),0)</f>
        <v>0</v>
      </c>
      <c r="J82" s="123">
        <f t="shared" si="7"/>
        <v>0</v>
      </c>
      <c r="K82" s="123">
        <f t="shared" si="9"/>
        <v>0</v>
      </c>
      <c r="L82" s="91"/>
      <c r="M82" s="92" t="s">
        <v>127</v>
      </c>
      <c r="N82" s="92" t="s">
        <v>1711</v>
      </c>
      <c r="O82" s="93">
        <v>0</v>
      </c>
      <c r="P82" s="86" t="s">
        <v>129</v>
      </c>
      <c r="Q82" s="82">
        <f t="shared" si="8"/>
        <v>77</v>
      </c>
    </row>
    <row r="83" spans="1:65" ht="20.25" customHeight="1">
      <c r="A83" s="85"/>
      <c r="B83" s="152"/>
      <c r="C83" s="86"/>
      <c r="D83" s="87"/>
      <c r="E83" s="88" t="str">
        <f>IFERROR(VLOOKUP(D83,ProductMaster!$A:$B,2,FALSE),"")</f>
        <v/>
      </c>
      <c r="F83" s="88" t="str">
        <f>IFERROR(VLOOKUP(D83,ProductMaster!$A:$C,3,FALSE),"")</f>
        <v/>
      </c>
      <c r="G83" s="89" t="str">
        <f>IFERROR(VLOOKUP($D83,ProductMaster!$A:$O,4,FALSE),"")</f>
        <v/>
      </c>
      <c r="H83" s="90"/>
      <c r="I83" s="123">
        <f>IFERROR(VLOOKUP(E83,ProductMaster!B:G,6,FALSE),0)</f>
        <v>0</v>
      </c>
      <c r="J83" s="123">
        <f t="shared" si="7"/>
        <v>0</v>
      </c>
      <c r="K83" s="123">
        <f t="shared" si="9"/>
        <v>0</v>
      </c>
      <c r="L83" s="148"/>
      <c r="M83" s="92" t="s">
        <v>127</v>
      </c>
      <c r="N83" s="92" t="s">
        <v>1711</v>
      </c>
      <c r="O83" s="93">
        <v>0</v>
      </c>
      <c r="P83" s="86" t="s">
        <v>129</v>
      </c>
      <c r="Q83" s="82">
        <f t="shared" si="8"/>
        <v>78</v>
      </c>
    </row>
    <row r="84" spans="1:65" ht="20.25" customHeight="1">
      <c r="A84" s="85"/>
      <c r="B84" s="152"/>
      <c r="C84" s="86"/>
      <c r="D84" s="87"/>
      <c r="E84" s="88" t="str">
        <f>IFERROR(VLOOKUP(D84,ProductMaster!$A:$B,2,FALSE),"")</f>
        <v/>
      </c>
      <c r="F84" s="88" t="str">
        <f>IFERROR(VLOOKUP(D84,ProductMaster!$A:$C,3,FALSE),"")</f>
        <v/>
      </c>
      <c r="G84" s="89" t="str">
        <f>IFERROR(VLOOKUP($D84,ProductMaster!$A:$O,4,FALSE),"")</f>
        <v/>
      </c>
      <c r="H84" s="90"/>
      <c r="I84" s="123">
        <f>IFERROR(VLOOKUP(E84,ProductMaster!B:G,6,FALSE),0)</f>
        <v>0</v>
      </c>
      <c r="J84" s="123">
        <f t="shared" si="7"/>
        <v>0</v>
      </c>
      <c r="K84" s="123">
        <f t="shared" si="9"/>
        <v>0</v>
      </c>
      <c r="L84" s="148"/>
      <c r="M84" s="92" t="s">
        <v>127</v>
      </c>
      <c r="N84" s="92" t="s">
        <v>1711</v>
      </c>
      <c r="O84" s="93">
        <v>0</v>
      </c>
      <c r="P84" s="86" t="s">
        <v>129</v>
      </c>
      <c r="Q84" s="82">
        <f t="shared" si="8"/>
        <v>79</v>
      </c>
    </row>
    <row r="85" spans="1:65" ht="20.25" customHeight="1">
      <c r="A85" s="85"/>
      <c r="B85" s="152"/>
      <c r="C85" s="86"/>
      <c r="D85" s="87"/>
      <c r="E85" s="88" t="str">
        <f>IFERROR(VLOOKUP(D85,ProductMaster!$A:$B,2,FALSE),"")</f>
        <v/>
      </c>
      <c r="F85" s="88" t="str">
        <f>IFERROR(VLOOKUP(D85,ProductMaster!$A:$C,3,FALSE),"")</f>
        <v/>
      </c>
      <c r="G85" s="89" t="str">
        <f>IFERROR(VLOOKUP($D85,ProductMaster!$A:$O,4,FALSE),"")</f>
        <v/>
      </c>
      <c r="H85" s="90"/>
      <c r="I85" s="123">
        <f>IFERROR(VLOOKUP(E85,ProductMaster!B:G,6,FALSE),0)</f>
        <v>0</v>
      </c>
      <c r="J85" s="123">
        <f t="shared" si="7"/>
        <v>0</v>
      </c>
      <c r="K85" s="123">
        <f t="shared" si="9"/>
        <v>0</v>
      </c>
      <c r="L85" s="148"/>
      <c r="M85" s="92" t="s">
        <v>127</v>
      </c>
      <c r="N85" s="92" t="s">
        <v>1711</v>
      </c>
      <c r="O85" s="93">
        <v>0</v>
      </c>
      <c r="P85" s="86" t="s">
        <v>129</v>
      </c>
      <c r="Q85" s="82">
        <f t="shared" si="8"/>
        <v>80</v>
      </c>
    </row>
    <row r="86" spans="1:65" ht="20.25" customHeight="1">
      <c r="A86" s="85"/>
      <c r="B86" s="152"/>
      <c r="C86" s="86"/>
      <c r="D86" s="87"/>
      <c r="E86" s="88" t="str">
        <f>IFERROR(VLOOKUP(D86,ProductMaster!$A:$B,2,FALSE),"")</f>
        <v/>
      </c>
      <c r="F86" s="88" t="str">
        <f>IFERROR(VLOOKUP(D86,ProductMaster!$A:$C,3,FALSE),"")</f>
        <v/>
      </c>
      <c r="G86" s="89" t="str">
        <f>IFERROR(VLOOKUP($D86,ProductMaster!$A:$O,4,FALSE),"")</f>
        <v/>
      </c>
      <c r="H86" s="90"/>
      <c r="I86" s="123">
        <f>IFERROR(VLOOKUP(E86,ProductMaster!B:G,6,FALSE),0)</f>
        <v>0</v>
      </c>
      <c r="J86" s="123">
        <f t="shared" si="7"/>
        <v>0</v>
      </c>
      <c r="K86" s="123">
        <f t="shared" si="9"/>
        <v>0</v>
      </c>
      <c r="L86" s="148"/>
      <c r="M86" s="92" t="s">
        <v>127</v>
      </c>
      <c r="N86" s="92" t="s">
        <v>1711</v>
      </c>
      <c r="O86" s="93">
        <v>0</v>
      </c>
      <c r="P86" s="86" t="s">
        <v>129</v>
      </c>
      <c r="Q86" s="82">
        <f t="shared" si="8"/>
        <v>81</v>
      </c>
    </row>
    <row r="87" spans="1:65" ht="20.25" customHeight="1">
      <c r="A87" s="85"/>
      <c r="B87" s="152"/>
      <c r="C87" s="86"/>
      <c r="D87" s="87"/>
      <c r="E87" s="88" t="str">
        <f>IFERROR(VLOOKUP(D87,ProductMaster!$A:$B,2,FALSE),"")</f>
        <v/>
      </c>
      <c r="F87" s="88" t="str">
        <f>IFERROR(VLOOKUP(D87,ProductMaster!$A:$C,3,FALSE),"")</f>
        <v/>
      </c>
      <c r="G87" s="89" t="str">
        <f>IFERROR(VLOOKUP($D87,ProductMaster!$A:$O,4,FALSE),"")</f>
        <v/>
      </c>
      <c r="H87" s="90"/>
      <c r="I87" s="123">
        <f>IFERROR(VLOOKUP(E87,ProductMaster!B:G,6,FALSE),0)</f>
        <v>0</v>
      </c>
      <c r="J87" s="123">
        <f t="shared" si="7"/>
        <v>0</v>
      </c>
      <c r="K87" s="123">
        <f t="shared" si="9"/>
        <v>0</v>
      </c>
      <c r="L87" s="148"/>
      <c r="M87" s="92" t="s">
        <v>127</v>
      </c>
      <c r="N87" s="92" t="s">
        <v>1711</v>
      </c>
      <c r="O87" s="93">
        <v>0</v>
      </c>
      <c r="P87" s="86" t="s">
        <v>129</v>
      </c>
      <c r="Q87" s="82">
        <f t="shared" si="8"/>
        <v>82</v>
      </c>
    </row>
    <row r="88" spans="1:65" ht="20.25" customHeight="1">
      <c r="A88" s="85"/>
      <c r="B88" s="152"/>
      <c r="C88" s="86"/>
      <c r="D88" s="87"/>
      <c r="E88" s="88" t="str">
        <f>IFERROR(VLOOKUP(D88,ProductMaster!$A:$B,2,FALSE),"")</f>
        <v/>
      </c>
      <c r="F88" s="88" t="str">
        <f>IFERROR(VLOOKUP(D88,ProductMaster!$A:$C,3,FALSE),"")</f>
        <v/>
      </c>
      <c r="G88" s="89" t="str">
        <f>IFERROR(VLOOKUP($D88,ProductMaster!$A:$O,4,FALSE),"")</f>
        <v/>
      </c>
      <c r="H88" s="90"/>
      <c r="I88" s="123">
        <f>IFERROR(VLOOKUP(E88,ProductMaster!B:G,6,FALSE),0)</f>
        <v>0</v>
      </c>
      <c r="J88" s="123">
        <f t="shared" si="7"/>
        <v>0</v>
      </c>
      <c r="K88" s="123">
        <f t="shared" si="9"/>
        <v>0</v>
      </c>
      <c r="L88" s="148"/>
      <c r="M88" s="92" t="s">
        <v>127</v>
      </c>
      <c r="N88" s="92" t="s">
        <v>1711</v>
      </c>
      <c r="O88" s="93">
        <v>0</v>
      </c>
      <c r="P88" s="86" t="s">
        <v>129</v>
      </c>
      <c r="Q88" s="82">
        <f t="shared" si="8"/>
        <v>83</v>
      </c>
    </row>
    <row r="89" spans="1:65" ht="20.25" customHeight="1">
      <c r="A89" s="85"/>
      <c r="B89" s="152"/>
      <c r="C89" s="86"/>
      <c r="D89" s="87"/>
      <c r="E89" s="88" t="str">
        <f>IFERROR(VLOOKUP(D89,ProductMaster!$A:$B,2,FALSE),"")</f>
        <v/>
      </c>
      <c r="F89" s="88" t="str">
        <f>IFERROR(VLOOKUP(D89,ProductMaster!$A:$C,3,FALSE),"")</f>
        <v/>
      </c>
      <c r="G89" s="89" t="str">
        <f>IFERROR(VLOOKUP($D89,ProductMaster!$A:$O,4,FALSE),"")</f>
        <v/>
      </c>
      <c r="H89" s="90"/>
      <c r="I89" s="123">
        <f>IFERROR(VLOOKUP(E89,ProductMaster!B:G,6,FALSE),0)</f>
        <v>0</v>
      </c>
      <c r="J89" s="123">
        <f t="shared" si="7"/>
        <v>0</v>
      </c>
      <c r="K89" s="123">
        <f t="shared" si="9"/>
        <v>0</v>
      </c>
      <c r="L89" s="91"/>
      <c r="M89" s="92" t="s">
        <v>127</v>
      </c>
      <c r="N89" s="92" t="s">
        <v>1711</v>
      </c>
      <c r="O89" s="93">
        <v>0</v>
      </c>
      <c r="P89" s="86" t="s">
        <v>129</v>
      </c>
      <c r="Q89" s="82">
        <f t="shared" si="8"/>
        <v>84</v>
      </c>
      <c r="R89" s="151"/>
    </row>
    <row r="90" spans="1:65" ht="20.25" customHeight="1">
      <c r="A90" s="85"/>
      <c r="B90" s="152"/>
      <c r="C90" s="86"/>
      <c r="D90" s="87"/>
      <c r="E90" s="88" t="str">
        <f>IFERROR(VLOOKUP(D90,ProductMaster!$A:$B,2,FALSE),"")</f>
        <v/>
      </c>
      <c r="F90" s="88" t="str">
        <f>IFERROR(VLOOKUP(D90,ProductMaster!$A:$C,3,FALSE),"")</f>
        <v/>
      </c>
      <c r="G90" s="89" t="str">
        <f>IFERROR(VLOOKUP($D90,ProductMaster!$A:$O,4,FALSE),"")</f>
        <v/>
      </c>
      <c r="H90" s="90"/>
      <c r="I90" s="123">
        <f>IFERROR(VLOOKUP(E90,ProductMaster!B:G,6,FALSE),0)</f>
        <v>0</v>
      </c>
      <c r="J90" s="123">
        <f t="shared" si="7"/>
        <v>0</v>
      </c>
      <c r="K90" s="123">
        <f t="shared" si="9"/>
        <v>0</v>
      </c>
      <c r="L90" s="91"/>
      <c r="M90" s="92" t="s">
        <v>127</v>
      </c>
      <c r="N90" s="92" t="s">
        <v>1711</v>
      </c>
      <c r="O90" s="93">
        <v>0</v>
      </c>
      <c r="P90" s="86" t="s">
        <v>129</v>
      </c>
      <c r="Q90" s="82">
        <f t="shared" si="8"/>
        <v>85</v>
      </c>
      <c r="R90" s="151"/>
    </row>
    <row r="91" spans="1:65" ht="20.25" customHeight="1">
      <c r="A91" s="85"/>
      <c r="B91" s="152"/>
      <c r="C91" s="86"/>
      <c r="D91" s="87"/>
      <c r="E91" s="88" t="str">
        <f>IFERROR(VLOOKUP(D91,ProductMaster!$A:$B,2,FALSE),"")</f>
        <v/>
      </c>
      <c r="F91" s="88" t="str">
        <f>IFERROR(VLOOKUP(D91,ProductMaster!$A:$C,3,FALSE),"")</f>
        <v/>
      </c>
      <c r="G91" s="89" t="str">
        <f>IFERROR(VLOOKUP($D91,ProductMaster!$A:$O,4,FALSE),"")</f>
        <v/>
      </c>
      <c r="H91" s="90"/>
      <c r="I91" s="123">
        <f>IFERROR(VLOOKUP(E91,ProductMaster!B:G,6,FALSE),0)</f>
        <v>0</v>
      </c>
      <c r="J91" s="123">
        <f t="shared" si="7"/>
        <v>0</v>
      </c>
      <c r="K91" s="123">
        <f t="shared" si="9"/>
        <v>0</v>
      </c>
      <c r="L91" s="91"/>
      <c r="M91" s="92" t="s">
        <v>127</v>
      </c>
      <c r="N91" s="92" t="s">
        <v>1711</v>
      </c>
      <c r="O91" s="93">
        <v>0</v>
      </c>
      <c r="P91" s="86" t="s">
        <v>129</v>
      </c>
      <c r="Q91" s="82">
        <f t="shared" si="8"/>
        <v>86</v>
      </c>
    </row>
    <row r="92" spans="1:65" ht="20.25" customHeight="1">
      <c r="A92" s="85"/>
      <c r="B92" s="152"/>
      <c r="C92" s="86"/>
      <c r="D92" s="87"/>
      <c r="E92" s="88" t="str">
        <f>IFERROR(VLOOKUP(D92,ProductMaster!$A:$B,2,FALSE),"")</f>
        <v/>
      </c>
      <c r="F92" s="88" t="str">
        <f>IFERROR(VLOOKUP(D92,ProductMaster!$A:$C,3,FALSE),"")</f>
        <v/>
      </c>
      <c r="G92" s="89" t="str">
        <f>IFERROR(VLOOKUP($D92,ProductMaster!$A:$O,4,FALSE),"")</f>
        <v/>
      </c>
      <c r="H92" s="90"/>
      <c r="I92" s="123">
        <f>IFERROR(VLOOKUP(E92,ProductMaster!B:G,6,FALSE),0)</f>
        <v>0</v>
      </c>
      <c r="J92" s="123">
        <f t="shared" si="7"/>
        <v>0</v>
      </c>
      <c r="K92" s="123">
        <f t="shared" si="9"/>
        <v>0</v>
      </c>
      <c r="L92" s="91"/>
      <c r="M92" s="92" t="s">
        <v>127</v>
      </c>
      <c r="N92" s="92" t="s">
        <v>1711</v>
      </c>
      <c r="O92" s="93">
        <v>0</v>
      </c>
      <c r="P92" s="86" t="s">
        <v>129</v>
      </c>
      <c r="Q92" s="82">
        <f t="shared" si="8"/>
        <v>87</v>
      </c>
    </row>
    <row r="93" spans="1:65" s="171" customFormat="1" ht="20.25" customHeight="1">
      <c r="A93" s="85"/>
      <c r="B93" s="159"/>
      <c r="C93" s="86"/>
      <c r="D93" s="161"/>
      <c r="E93" s="162" t="str">
        <f>IFERROR(VLOOKUP(D93,ProductMaster!$A:$B,2,FALSE),"")</f>
        <v/>
      </c>
      <c r="F93" s="162" t="str">
        <f>IFERROR(VLOOKUP(D93,ProductMaster!$A:$C,3,FALSE),"")</f>
        <v/>
      </c>
      <c r="G93" s="163" t="str">
        <f>IFERROR(VLOOKUP($D93,ProductMaster!$A:$O,4,FALSE),"")</f>
        <v/>
      </c>
      <c r="H93" s="164"/>
      <c r="I93" s="165">
        <f>IFERROR(VLOOKUP(E93,ProductMaster!B:G,6,FALSE),0)</f>
        <v>0</v>
      </c>
      <c r="J93" s="165">
        <f t="shared" si="7"/>
        <v>0</v>
      </c>
      <c r="K93" s="165">
        <f t="shared" si="9"/>
        <v>0</v>
      </c>
      <c r="L93" s="166"/>
      <c r="M93" s="92" t="s">
        <v>127</v>
      </c>
      <c r="N93" s="167" t="s">
        <v>1711</v>
      </c>
      <c r="O93" s="168">
        <v>0</v>
      </c>
      <c r="P93" s="86" t="s">
        <v>129</v>
      </c>
      <c r="Q93" s="169">
        <f t="shared" si="8"/>
        <v>88</v>
      </c>
      <c r="R93" s="170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</row>
    <row r="94" spans="1:65" ht="20.25" customHeight="1">
      <c r="A94" s="85"/>
      <c r="B94" s="152"/>
      <c r="C94" s="86"/>
      <c r="D94" s="87"/>
      <c r="E94" s="88" t="str">
        <f>IFERROR(VLOOKUP(D94,ProductMaster!$A:$B,2,FALSE),"")</f>
        <v/>
      </c>
      <c r="F94" s="88" t="str">
        <f>IFERROR(VLOOKUP(D94,ProductMaster!$A:$C,3,FALSE),"")</f>
        <v/>
      </c>
      <c r="G94" s="89" t="str">
        <f>IFERROR(VLOOKUP($D94,ProductMaster!$A:$O,4,FALSE),"")</f>
        <v/>
      </c>
      <c r="H94" s="90"/>
      <c r="I94" s="123">
        <f>IFERROR(VLOOKUP(E94,ProductMaster!B:G,6,FALSE),0)</f>
        <v>0</v>
      </c>
      <c r="J94" s="123">
        <f t="shared" si="7"/>
        <v>0</v>
      </c>
      <c r="K94" s="123">
        <f t="shared" si="9"/>
        <v>0</v>
      </c>
      <c r="L94" s="91"/>
      <c r="M94" s="92" t="s">
        <v>127</v>
      </c>
      <c r="N94" s="92" t="s">
        <v>1711</v>
      </c>
      <c r="O94" s="93">
        <v>0</v>
      </c>
      <c r="P94" s="86" t="s">
        <v>129</v>
      </c>
      <c r="Q94" s="82">
        <f t="shared" si="8"/>
        <v>89</v>
      </c>
    </row>
    <row r="95" spans="1:65" ht="20.25" customHeight="1">
      <c r="A95" s="85"/>
      <c r="B95" s="152"/>
      <c r="C95" s="86"/>
      <c r="D95" s="87"/>
      <c r="E95" s="88" t="str">
        <f>IFERROR(VLOOKUP(D95,ProductMaster!$A:$B,2,FALSE),"")</f>
        <v/>
      </c>
      <c r="F95" s="88" t="str">
        <f>IFERROR(VLOOKUP(D95,ProductMaster!$A:$C,3,FALSE),"")</f>
        <v/>
      </c>
      <c r="G95" s="89" t="str">
        <f>IFERROR(VLOOKUP($D95,ProductMaster!$A:$O,4,FALSE),"")</f>
        <v/>
      </c>
      <c r="H95" s="90"/>
      <c r="I95" s="123">
        <f>IFERROR(VLOOKUP(E95,ProductMaster!B:G,6,FALSE),0)</f>
        <v>0</v>
      </c>
      <c r="J95" s="123">
        <f t="shared" si="7"/>
        <v>0</v>
      </c>
      <c r="K95" s="123">
        <f t="shared" si="9"/>
        <v>0</v>
      </c>
      <c r="L95" s="148"/>
      <c r="M95" s="92" t="s">
        <v>127</v>
      </c>
      <c r="N95" s="92" t="s">
        <v>1711</v>
      </c>
      <c r="O95" s="93">
        <v>0</v>
      </c>
      <c r="P95" s="86" t="s">
        <v>129</v>
      </c>
      <c r="Q95" s="82">
        <f t="shared" si="8"/>
        <v>90</v>
      </c>
    </row>
    <row r="96" spans="1:65" ht="20.25" customHeight="1">
      <c r="A96" s="85"/>
      <c r="B96" s="152"/>
      <c r="C96" s="86"/>
      <c r="D96" s="87"/>
      <c r="E96" s="88" t="str">
        <f>IFERROR(VLOOKUP(D96,ProductMaster!$A:$B,2,FALSE),"")</f>
        <v/>
      </c>
      <c r="F96" s="88" t="str">
        <f>IFERROR(VLOOKUP(D96,ProductMaster!$A:$C,3,FALSE),"")</f>
        <v/>
      </c>
      <c r="G96" s="89" t="str">
        <f>IFERROR(VLOOKUP($D96,ProductMaster!$A:$O,4,FALSE),"")</f>
        <v/>
      </c>
      <c r="H96" s="90"/>
      <c r="I96" s="123">
        <f>IFERROR(VLOOKUP(E96,ProductMaster!B:G,6,FALSE),0)</f>
        <v>0</v>
      </c>
      <c r="J96" s="123">
        <f t="shared" si="7"/>
        <v>0</v>
      </c>
      <c r="K96" s="123">
        <f t="shared" si="9"/>
        <v>0</v>
      </c>
      <c r="L96" s="91"/>
      <c r="M96" s="92" t="s">
        <v>127</v>
      </c>
      <c r="N96" s="92" t="s">
        <v>1711</v>
      </c>
      <c r="O96" s="93">
        <v>0</v>
      </c>
      <c r="P96" s="86" t="s">
        <v>129</v>
      </c>
      <c r="Q96" s="82">
        <f t="shared" si="8"/>
        <v>91</v>
      </c>
    </row>
    <row r="97" spans="1:18" ht="20.25" customHeight="1">
      <c r="A97" s="85"/>
      <c r="B97" s="152"/>
      <c r="C97" s="86"/>
      <c r="D97" s="87"/>
      <c r="E97" s="88" t="str">
        <f>IFERROR(VLOOKUP(D97,ProductMaster!$A:$B,2,FALSE),"")</f>
        <v/>
      </c>
      <c r="F97" s="88" t="str">
        <f>IFERROR(VLOOKUP(D97,ProductMaster!$A:$C,3,FALSE),"")</f>
        <v/>
      </c>
      <c r="G97" s="89" t="str">
        <f>IFERROR(VLOOKUP($D97,ProductMaster!$A:$O,4,FALSE),"")</f>
        <v/>
      </c>
      <c r="H97" s="90"/>
      <c r="I97" s="123">
        <f>IFERROR(VLOOKUP(E97,ProductMaster!B:G,6,FALSE),0)</f>
        <v>0</v>
      </c>
      <c r="J97" s="123">
        <f t="shared" si="7"/>
        <v>0</v>
      </c>
      <c r="K97" s="123">
        <f t="shared" si="9"/>
        <v>0</v>
      </c>
      <c r="L97" s="91"/>
      <c r="M97" s="92" t="s">
        <v>127</v>
      </c>
      <c r="N97" s="92" t="s">
        <v>1711</v>
      </c>
      <c r="O97" s="93">
        <v>0</v>
      </c>
      <c r="P97" s="86" t="s">
        <v>129</v>
      </c>
      <c r="Q97" s="82">
        <f t="shared" si="8"/>
        <v>92</v>
      </c>
    </row>
    <row r="98" spans="1:18" ht="20.25" customHeight="1">
      <c r="A98" s="85"/>
      <c r="B98" s="152"/>
      <c r="C98" s="86"/>
      <c r="D98" s="87"/>
      <c r="E98" s="88" t="str">
        <f>IFERROR(VLOOKUP(D98,ProductMaster!$A:$B,2,FALSE),"")</f>
        <v/>
      </c>
      <c r="F98" s="88" t="str">
        <f>IFERROR(VLOOKUP(D98,ProductMaster!$A:$C,3,FALSE),"")</f>
        <v/>
      </c>
      <c r="G98" s="89" t="str">
        <f>IFERROR(VLOOKUP($D98,ProductMaster!$A:$O,4,FALSE),"")</f>
        <v/>
      </c>
      <c r="H98" s="90"/>
      <c r="I98" s="123">
        <f>IFERROR(VLOOKUP(E98,ProductMaster!B:G,6,FALSE),0)</f>
        <v>0</v>
      </c>
      <c r="J98" s="123">
        <f t="shared" si="7"/>
        <v>0</v>
      </c>
      <c r="K98" s="123">
        <f t="shared" si="9"/>
        <v>0</v>
      </c>
      <c r="L98" s="91"/>
      <c r="M98" s="92" t="s">
        <v>127</v>
      </c>
      <c r="N98" s="92" t="s">
        <v>1711</v>
      </c>
      <c r="O98" s="93">
        <v>0</v>
      </c>
      <c r="P98" s="86" t="s">
        <v>129</v>
      </c>
      <c r="Q98" s="82">
        <f t="shared" si="8"/>
        <v>93</v>
      </c>
    </row>
    <row r="99" spans="1:18" ht="20.25" customHeight="1">
      <c r="A99" s="85"/>
      <c r="B99" s="152"/>
      <c r="C99" s="86"/>
      <c r="D99" s="87"/>
      <c r="E99" s="88" t="str">
        <f>IFERROR(VLOOKUP(D99,ProductMaster!$A:$B,2,FALSE),"")</f>
        <v/>
      </c>
      <c r="F99" s="88" t="str">
        <f>IFERROR(VLOOKUP(D99,ProductMaster!$A:$C,3,FALSE),"")</f>
        <v/>
      </c>
      <c r="G99" s="89" t="str">
        <f>IFERROR(VLOOKUP($D99,ProductMaster!$A:$O,4,FALSE),"")</f>
        <v/>
      </c>
      <c r="H99" s="90"/>
      <c r="I99" s="123">
        <f>IFERROR(VLOOKUP(E99,ProductMaster!B:G,6,FALSE),0)</f>
        <v>0</v>
      </c>
      <c r="J99" s="123">
        <f t="shared" si="7"/>
        <v>0</v>
      </c>
      <c r="K99" s="123">
        <f t="shared" si="9"/>
        <v>0</v>
      </c>
      <c r="L99" s="91"/>
      <c r="M99" s="92" t="s">
        <v>127</v>
      </c>
      <c r="N99" s="92" t="s">
        <v>1711</v>
      </c>
      <c r="O99" s="93">
        <v>0</v>
      </c>
      <c r="P99" s="86" t="s">
        <v>129</v>
      </c>
      <c r="Q99" s="82">
        <f t="shared" si="8"/>
        <v>94</v>
      </c>
    </row>
    <row r="100" spans="1:18" ht="20.25" customHeight="1">
      <c r="A100" s="85"/>
      <c r="B100" s="152"/>
      <c r="C100" s="86"/>
      <c r="D100" s="87"/>
      <c r="E100" s="88" t="str">
        <f>IFERROR(VLOOKUP(D100,ProductMaster!$A:$B,2,FALSE),"")</f>
        <v/>
      </c>
      <c r="F100" s="88" t="str">
        <f>IFERROR(VLOOKUP(D100,ProductMaster!$A:$C,3,FALSE),"")</f>
        <v/>
      </c>
      <c r="G100" s="89" t="str">
        <f>IFERROR(VLOOKUP($D100,ProductMaster!$A:$O,4,FALSE),"")</f>
        <v/>
      </c>
      <c r="H100" s="90"/>
      <c r="I100" s="123">
        <f>IFERROR(VLOOKUP(E100,ProductMaster!B:G,6,FALSE),0)</f>
        <v>0</v>
      </c>
      <c r="J100" s="123">
        <f t="shared" si="7"/>
        <v>0</v>
      </c>
      <c r="K100" s="123">
        <f t="shared" si="9"/>
        <v>0</v>
      </c>
      <c r="L100" s="91"/>
      <c r="M100" s="92" t="s">
        <v>127</v>
      </c>
      <c r="N100" s="92" t="s">
        <v>1711</v>
      </c>
      <c r="O100" s="93">
        <v>0</v>
      </c>
      <c r="P100" s="86" t="s">
        <v>129</v>
      </c>
      <c r="Q100" s="82">
        <f t="shared" si="8"/>
        <v>95</v>
      </c>
    </row>
    <row r="101" spans="1:18" ht="20.25" customHeight="1">
      <c r="A101" s="85"/>
      <c r="B101" s="152"/>
      <c r="C101" s="86"/>
      <c r="D101" s="87"/>
      <c r="E101" s="88" t="str">
        <f>IFERROR(VLOOKUP(D101,ProductMaster!$A:$B,2,FALSE),"")</f>
        <v/>
      </c>
      <c r="F101" s="88" t="str">
        <f>IFERROR(VLOOKUP(D101,ProductMaster!$A:$C,3,FALSE),"")</f>
        <v/>
      </c>
      <c r="G101" s="89" t="str">
        <f>IFERROR(VLOOKUP($D101,ProductMaster!$A:$O,4,FALSE),"")</f>
        <v/>
      </c>
      <c r="H101" s="90"/>
      <c r="I101" s="123">
        <f>IFERROR(VLOOKUP(E101,ProductMaster!B:G,6,FALSE),0)</f>
        <v>0</v>
      </c>
      <c r="J101" s="123">
        <f t="shared" si="7"/>
        <v>0</v>
      </c>
      <c r="K101" s="123">
        <f t="shared" si="9"/>
        <v>0</v>
      </c>
      <c r="L101" s="91"/>
      <c r="M101" s="92" t="s">
        <v>127</v>
      </c>
      <c r="N101" s="92" t="s">
        <v>1711</v>
      </c>
      <c r="O101" s="93">
        <v>0</v>
      </c>
      <c r="P101" s="86" t="s">
        <v>129</v>
      </c>
      <c r="Q101" s="82">
        <f t="shared" si="8"/>
        <v>96</v>
      </c>
    </row>
    <row r="102" spans="1:18" ht="20.25" customHeight="1">
      <c r="A102" s="85"/>
      <c r="B102" s="152"/>
      <c r="C102" s="86"/>
      <c r="D102" s="87"/>
      <c r="E102" s="88" t="str">
        <f>IFERROR(VLOOKUP(D102,ProductMaster!$A:$B,2,FALSE),"")</f>
        <v/>
      </c>
      <c r="F102" s="88" t="str">
        <f>IFERROR(VLOOKUP(D102,ProductMaster!$A:$C,3,FALSE),"")</f>
        <v/>
      </c>
      <c r="G102" s="89" t="str">
        <f>IFERROR(VLOOKUP($D102,ProductMaster!$A:$O,4,FALSE),"")</f>
        <v/>
      </c>
      <c r="H102" s="90"/>
      <c r="I102" s="123">
        <f>IFERROR(VLOOKUP(E102,ProductMaster!B:G,6,FALSE),0)</f>
        <v>0</v>
      </c>
      <c r="J102" s="123">
        <f t="shared" si="7"/>
        <v>0</v>
      </c>
      <c r="K102" s="123">
        <f t="shared" si="9"/>
        <v>0</v>
      </c>
      <c r="L102" s="91"/>
      <c r="M102" s="92" t="s">
        <v>127</v>
      </c>
      <c r="N102" s="92" t="s">
        <v>1711</v>
      </c>
      <c r="O102" s="93">
        <v>0</v>
      </c>
      <c r="P102" s="86" t="s">
        <v>129</v>
      </c>
      <c r="Q102" s="82">
        <f t="shared" si="8"/>
        <v>97</v>
      </c>
    </row>
    <row r="103" spans="1:18" ht="20.25" customHeight="1">
      <c r="A103" s="85"/>
      <c r="B103" s="152"/>
      <c r="C103" s="86"/>
      <c r="D103" s="87"/>
      <c r="E103" s="88" t="str">
        <f>IFERROR(VLOOKUP(D103,ProductMaster!$A:$B,2,FALSE),"")</f>
        <v/>
      </c>
      <c r="F103" s="88" t="str">
        <f>IFERROR(VLOOKUP(D103,ProductMaster!$A:$C,3,FALSE),"")</f>
        <v/>
      </c>
      <c r="G103" s="89" t="str">
        <f>IFERROR(VLOOKUP($D103,ProductMaster!$A:$O,4,FALSE),"")</f>
        <v/>
      </c>
      <c r="H103" s="90"/>
      <c r="I103" s="123">
        <f>IFERROR(VLOOKUP(E103,ProductMaster!B:G,6,FALSE),0)</f>
        <v>0</v>
      </c>
      <c r="J103" s="123">
        <f t="shared" si="7"/>
        <v>0</v>
      </c>
      <c r="K103" s="123">
        <f t="shared" si="9"/>
        <v>0</v>
      </c>
      <c r="L103" s="91"/>
      <c r="M103" s="92" t="s">
        <v>127</v>
      </c>
      <c r="N103" s="92" t="s">
        <v>1711</v>
      </c>
      <c r="O103" s="93">
        <v>0</v>
      </c>
      <c r="P103" s="86" t="s">
        <v>129</v>
      </c>
      <c r="Q103" s="82">
        <f t="shared" si="8"/>
        <v>98</v>
      </c>
      <c r="R103" s="151"/>
    </row>
    <row r="104" spans="1:18" ht="20.25" customHeight="1">
      <c r="A104" s="85"/>
      <c r="B104" s="152"/>
      <c r="C104" s="86"/>
      <c r="D104" s="87"/>
      <c r="E104" s="88" t="str">
        <f>IFERROR(VLOOKUP(D104,ProductMaster!$A:$B,2,FALSE),"")</f>
        <v/>
      </c>
      <c r="F104" s="88" t="str">
        <f>IFERROR(VLOOKUP(D104,ProductMaster!$A:$C,3,FALSE),"")</f>
        <v/>
      </c>
      <c r="G104" s="89" t="str">
        <f>IFERROR(VLOOKUP($D104,ProductMaster!$A:$O,4,FALSE),"")</f>
        <v/>
      </c>
      <c r="H104" s="90"/>
      <c r="I104" s="123">
        <f>IFERROR(VLOOKUP(E104,ProductMaster!B:G,6,FALSE),0)</f>
        <v>0</v>
      </c>
      <c r="J104" s="123">
        <f t="shared" si="7"/>
        <v>0</v>
      </c>
      <c r="K104" s="123">
        <f t="shared" si="9"/>
        <v>0</v>
      </c>
      <c r="L104" s="91"/>
      <c r="M104" s="92" t="s">
        <v>127</v>
      </c>
      <c r="N104" s="92" t="s">
        <v>1711</v>
      </c>
      <c r="O104" s="93">
        <v>0</v>
      </c>
      <c r="P104" s="86" t="s">
        <v>129</v>
      </c>
      <c r="Q104" s="82">
        <f t="shared" si="8"/>
        <v>99</v>
      </c>
      <c r="R104" s="151"/>
    </row>
    <row r="105" spans="1:18" ht="20.25" customHeight="1">
      <c r="A105" s="85"/>
      <c r="B105" s="152"/>
      <c r="C105" s="86"/>
      <c r="D105" s="87"/>
      <c r="E105" s="88" t="str">
        <f>IFERROR(VLOOKUP(D105,ProductMaster!$A:$B,2,FALSE),"")</f>
        <v/>
      </c>
      <c r="F105" s="88" t="str">
        <f>IFERROR(VLOOKUP(D105,ProductMaster!$A:$C,3,FALSE),"")</f>
        <v/>
      </c>
      <c r="G105" s="89" t="str">
        <f>IFERROR(VLOOKUP($D105,ProductMaster!$A:$O,4,FALSE),"")</f>
        <v/>
      </c>
      <c r="H105" s="90"/>
      <c r="I105" s="123">
        <f>IFERROR(VLOOKUP(E105,ProductMaster!B:G,6,FALSE),0)</f>
        <v>0</v>
      </c>
      <c r="J105" s="123">
        <f t="shared" si="7"/>
        <v>0</v>
      </c>
      <c r="K105" s="123">
        <f t="shared" si="9"/>
        <v>0</v>
      </c>
      <c r="L105" s="148"/>
      <c r="M105" s="92" t="s">
        <v>127</v>
      </c>
      <c r="N105" s="92" t="s">
        <v>1711</v>
      </c>
      <c r="O105" s="93">
        <v>0</v>
      </c>
      <c r="P105" s="86" t="s">
        <v>129</v>
      </c>
      <c r="Q105" s="82">
        <f t="shared" si="8"/>
        <v>100</v>
      </c>
    </row>
    <row r="106" spans="1:18" ht="20.25" customHeight="1">
      <c r="A106" s="85"/>
      <c r="B106" s="152"/>
      <c r="C106" s="86"/>
      <c r="D106" s="87"/>
      <c r="E106" s="88" t="str">
        <f>IFERROR(VLOOKUP(D106,ProductMaster!$A:$B,2,FALSE),"")</f>
        <v/>
      </c>
      <c r="F106" s="88" t="str">
        <f>IFERROR(VLOOKUP(D106,ProductMaster!$A:$C,3,FALSE),"")</f>
        <v/>
      </c>
      <c r="G106" s="89" t="str">
        <f>IFERROR(VLOOKUP($D106,ProductMaster!$A:$O,4,FALSE),"")</f>
        <v/>
      </c>
      <c r="H106" s="90"/>
      <c r="I106" s="123">
        <f>IFERROR(VLOOKUP(E106,ProductMaster!B:G,6,FALSE),0)</f>
        <v>0</v>
      </c>
      <c r="J106" s="123">
        <f t="shared" si="7"/>
        <v>0</v>
      </c>
      <c r="K106" s="123">
        <f t="shared" si="9"/>
        <v>0</v>
      </c>
      <c r="L106" s="148"/>
      <c r="M106" s="92" t="s">
        <v>127</v>
      </c>
      <c r="N106" s="92" t="s">
        <v>1711</v>
      </c>
      <c r="O106" s="93">
        <v>0</v>
      </c>
      <c r="P106" s="86" t="s">
        <v>129</v>
      </c>
      <c r="Q106" s="82">
        <f t="shared" si="8"/>
        <v>101</v>
      </c>
    </row>
    <row r="107" spans="1:18" ht="20.25" customHeight="1">
      <c r="A107" s="85"/>
      <c r="B107" s="152"/>
      <c r="C107" s="86"/>
      <c r="D107" s="87"/>
      <c r="E107" s="88" t="str">
        <f>IFERROR(VLOOKUP(D107,ProductMaster!$A:$B,2,FALSE),"")</f>
        <v/>
      </c>
      <c r="F107" s="88" t="str">
        <f>IFERROR(VLOOKUP(D107,ProductMaster!$A:$C,3,FALSE),"")</f>
        <v/>
      </c>
      <c r="G107" s="89" t="str">
        <f>IFERROR(VLOOKUP($D107,ProductMaster!$A:$O,4,FALSE),"")</f>
        <v/>
      </c>
      <c r="H107" s="90"/>
      <c r="I107" s="123">
        <f>IFERROR(VLOOKUP(E107,ProductMaster!B:G,6,FALSE),0)</f>
        <v>0</v>
      </c>
      <c r="J107" s="123">
        <f t="shared" si="7"/>
        <v>0</v>
      </c>
      <c r="K107" s="123">
        <f t="shared" si="9"/>
        <v>0</v>
      </c>
      <c r="L107" s="91"/>
      <c r="M107" s="92" t="s">
        <v>127</v>
      </c>
      <c r="N107" s="92" t="s">
        <v>1711</v>
      </c>
      <c r="O107" s="93">
        <v>0</v>
      </c>
      <c r="P107" s="86" t="s">
        <v>129</v>
      </c>
      <c r="Q107" s="82">
        <f t="shared" si="8"/>
        <v>102</v>
      </c>
    </row>
    <row r="108" spans="1:18" ht="20.25" customHeight="1">
      <c r="A108" s="85"/>
      <c r="B108" s="152"/>
      <c r="C108" s="86"/>
      <c r="D108" s="87"/>
      <c r="E108" s="88" t="str">
        <f>IFERROR(VLOOKUP(D108,ProductMaster!$A:$B,2,FALSE),"")</f>
        <v/>
      </c>
      <c r="F108" s="88" t="str">
        <f>IFERROR(VLOOKUP(D108,ProductMaster!$A:$C,3,FALSE),"")</f>
        <v/>
      </c>
      <c r="G108" s="89" t="str">
        <f>IFERROR(VLOOKUP($D108,ProductMaster!$A:$O,4,FALSE),"")</f>
        <v/>
      </c>
      <c r="H108" s="90"/>
      <c r="I108" s="123">
        <f>IFERROR(VLOOKUP(E108,ProductMaster!B:G,6,FALSE),0)</f>
        <v>0</v>
      </c>
      <c r="J108" s="123">
        <f t="shared" si="7"/>
        <v>0</v>
      </c>
      <c r="K108" s="123">
        <f t="shared" si="9"/>
        <v>0</v>
      </c>
      <c r="L108" s="91"/>
      <c r="M108" s="92" t="s">
        <v>127</v>
      </c>
      <c r="N108" s="92" t="s">
        <v>1711</v>
      </c>
      <c r="O108" s="93">
        <v>0</v>
      </c>
      <c r="P108" s="86" t="s">
        <v>129</v>
      </c>
      <c r="Q108" s="82">
        <f t="shared" si="8"/>
        <v>103</v>
      </c>
    </row>
    <row r="109" spans="1:18" ht="20.25" customHeight="1">
      <c r="A109" s="85"/>
      <c r="B109" s="152"/>
      <c r="C109" s="86"/>
      <c r="D109" s="87"/>
      <c r="E109" s="88" t="str">
        <f>IFERROR(VLOOKUP(D109,ProductMaster!$A:$B,2,FALSE),"")</f>
        <v/>
      </c>
      <c r="F109" s="88" t="str">
        <f>IFERROR(VLOOKUP(D109,ProductMaster!$A:$C,3,FALSE),"")</f>
        <v/>
      </c>
      <c r="G109" s="89" t="str">
        <f>IFERROR(VLOOKUP($D109,ProductMaster!$A:$O,4,FALSE),"")</f>
        <v/>
      </c>
      <c r="H109" s="90"/>
      <c r="I109" s="123">
        <f>IFERROR(VLOOKUP(E109,ProductMaster!B:G,6,FALSE),0)</f>
        <v>0</v>
      </c>
      <c r="J109" s="123">
        <f t="shared" si="7"/>
        <v>0</v>
      </c>
      <c r="K109" s="123">
        <f t="shared" si="9"/>
        <v>0</v>
      </c>
      <c r="L109" s="91"/>
      <c r="M109" s="92" t="s">
        <v>127</v>
      </c>
      <c r="N109" s="92" t="s">
        <v>1711</v>
      </c>
      <c r="O109" s="93">
        <v>0</v>
      </c>
      <c r="P109" s="86" t="s">
        <v>129</v>
      </c>
      <c r="Q109" s="82">
        <f t="shared" si="8"/>
        <v>104</v>
      </c>
    </row>
    <row r="110" spans="1:18" ht="20.25" customHeight="1">
      <c r="A110" s="85"/>
      <c r="B110" s="152"/>
      <c r="C110" s="86"/>
      <c r="D110" s="87"/>
      <c r="E110" s="88" t="str">
        <f>IFERROR(VLOOKUP(D110,ProductMaster!$A:$B,2,FALSE),"")</f>
        <v/>
      </c>
      <c r="F110" s="88" t="str">
        <f>IFERROR(VLOOKUP(D110,ProductMaster!$A:$C,3,FALSE),"")</f>
        <v/>
      </c>
      <c r="G110" s="89" t="str">
        <f>IFERROR(VLOOKUP($D110,ProductMaster!$A:$O,4,FALSE),"")</f>
        <v/>
      </c>
      <c r="H110" s="90"/>
      <c r="I110" s="123">
        <f>IFERROR(VLOOKUP(E110,ProductMaster!B:G,6,FALSE),0)</f>
        <v>0</v>
      </c>
      <c r="J110" s="123">
        <f t="shared" si="7"/>
        <v>0</v>
      </c>
      <c r="K110" s="123">
        <f t="shared" si="9"/>
        <v>0</v>
      </c>
      <c r="L110" s="91"/>
      <c r="M110" s="92" t="s">
        <v>127</v>
      </c>
      <c r="N110" s="92" t="s">
        <v>1711</v>
      </c>
      <c r="O110" s="93">
        <v>0</v>
      </c>
      <c r="P110" s="86" t="s">
        <v>129</v>
      </c>
      <c r="Q110" s="82">
        <f t="shared" si="8"/>
        <v>105</v>
      </c>
    </row>
    <row r="111" spans="1:18" ht="20.25" customHeight="1">
      <c r="A111" s="85"/>
      <c r="B111" s="152"/>
      <c r="C111" s="86"/>
      <c r="D111" s="87"/>
      <c r="E111" s="88" t="str">
        <f>IFERROR(VLOOKUP(D111,ProductMaster!$A:$B,2,FALSE),"")</f>
        <v/>
      </c>
      <c r="F111" s="88" t="str">
        <f>IFERROR(VLOOKUP(D111,ProductMaster!$A:$C,3,FALSE),"")</f>
        <v/>
      </c>
      <c r="G111" s="89" t="str">
        <f>IFERROR(VLOOKUP($D111,ProductMaster!$A:$O,4,FALSE),"")</f>
        <v/>
      </c>
      <c r="H111" s="90"/>
      <c r="I111" s="123">
        <f>IFERROR(VLOOKUP(E111,ProductMaster!B:G,6,FALSE),0)</f>
        <v>0</v>
      </c>
      <c r="J111" s="123">
        <f t="shared" si="7"/>
        <v>0</v>
      </c>
      <c r="K111" s="123">
        <f t="shared" si="9"/>
        <v>0</v>
      </c>
      <c r="L111" s="91"/>
      <c r="M111" s="92" t="s">
        <v>127</v>
      </c>
      <c r="N111" s="92" t="s">
        <v>1711</v>
      </c>
      <c r="O111" s="93">
        <v>0</v>
      </c>
      <c r="P111" s="86" t="s">
        <v>129</v>
      </c>
      <c r="Q111" s="82">
        <f t="shared" si="8"/>
        <v>106</v>
      </c>
    </row>
    <row r="112" spans="1:18" ht="20.25" customHeight="1">
      <c r="A112" s="85"/>
      <c r="B112" s="152"/>
      <c r="C112" s="86"/>
      <c r="D112" s="87"/>
      <c r="E112" s="88" t="str">
        <f>IFERROR(VLOOKUP(D112,ProductMaster!$A:$B,2,FALSE),"")</f>
        <v/>
      </c>
      <c r="F112" s="88" t="str">
        <f>IFERROR(VLOOKUP(D112,ProductMaster!$A:$C,3,FALSE),"")</f>
        <v/>
      </c>
      <c r="G112" s="89" t="str">
        <f>IFERROR(VLOOKUP($D112,ProductMaster!$A:$O,4,FALSE),"")</f>
        <v/>
      </c>
      <c r="H112" s="90"/>
      <c r="I112" s="123">
        <f>IFERROR(VLOOKUP(E112,ProductMaster!B:G,6,FALSE),0)</f>
        <v>0</v>
      </c>
      <c r="J112" s="123">
        <f t="shared" si="7"/>
        <v>0</v>
      </c>
      <c r="K112" s="123">
        <f t="shared" si="9"/>
        <v>0</v>
      </c>
      <c r="L112" s="91"/>
      <c r="M112" s="92" t="s">
        <v>127</v>
      </c>
      <c r="N112" s="92" t="s">
        <v>1711</v>
      </c>
      <c r="O112" s="93">
        <v>0</v>
      </c>
      <c r="P112" s="86" t="s">
        <v>129</v>
      </c>
      <c r="Q112" s="82">
        <f t="shared" si="8"/>
        <v>107</v>
      </c>
    </row>
    <row r="113" spans="1:17" ht="20.25" customHeight="1">
      <c r="A113" s="85"/>
      <c r="B113" s="152"/>
      <c r="C113" s="86"/>
      <c r="D113" s="87"/>
      <c r="E113" s="88" t="str">
        <f>IFERROR(VLOOKUP(D113,ProductMaster!$A:$B,2,FALSE),"")</f>
        <v/>
      </c>
      <c r="F113" s="88" t="str">
        <f>IFERROR(VLOOKUP(D113,ProductMaster!$A:$C,3,FALSE),"")</f>
        <v/>
      </c>
      <c r="G113" s="89" t="str">
        <f>IFERROR(VLOOKUP($D113,ProductMaster!$A:$O,4,FALSE),"")</f>
        <v/>
      </c>
      <c r="H113" s="90"/>
      <c r="I113" s="123">
        <f>IFERROR(VLOOKUP(E113,ProductMaster!B:G,6,FALSE),0)</f>
        <v>0</v>
      </c>
      <c r="J113" s="123">
        <f t="shared" si="7"/>
        <v>0</v>
      </c>
      <c r="K113" s="123">
        <f t="shared" si="9"/>
        <v>0</v>
      </c>
      <c r="L113" s="91"/>
      <c r="M113" s="92" t="s">
        <v>127</v>
      </c>
      <c r="N113" s="92" t="s">
        <v>1711</v>
      </c>
      <c r="O113" s="93">
        <v>0</v>
      </c>
      <c r="P113" s="86" t="s">
        <v>129</v>
      </c>
      <c r="Q113" s="82">
        <f t="shared" si="8"/>
        <v>108</v>
      </c>
    </row>
    <row r="114" spans="1:17" ht="20.25" customHeight="1">
      <c r="A114" s="85"/>
      <c r="B114" s="152"/>
      <c r="C114" s="86"/>
      <c r="D114" s="87"/>
      <c r="E114" s="88" t="str">
        <f>IFERROR(VLOOKUP(D114,ProductMaster!$A:$B,2,FALSE),"")</f>
        <v/>
      </c>
      <c r="F114" s="88" t="str">
        <f>IFERROR(VLOOKUP(D114,ProductMaster!$A:$C,3,FALSE),"")</f>
        <v/>
      </c>
      <c r="G114" s="89" t="str">
        <f>IFERROR(VLOOKUP($D114,ProductMaster!$A:$O,4,FALSE),"")</f>
        <v/>
      </c>
      <c r="H114" s="90"/>
      <c r="I114" s="123">
        <f>IFERROR(VLOOKUP(E114,ProductMaster!B:G,6,FALSE),0)</f>
        <v>0</v>
      </c>
      <c r="J114" s="123">
        <f t="shared" si="7"/>
        <v>0</v>
      </c>
      <c r="K114" s="123">
        <f t="shared" si="9"/>
        <v>0</v>
      </c>
      <c r="L114" s="91"/>
      <c r="M114" s="92" t="s">
        <v>127</v>
      </c>
      <c r="N114" s="92" t="s">
        <v>1711</v>
      </c>
      <c r="O114" s="93">
        <v>0</v>
      </c>
      <c r="P114" s="86" t="s">
        <v>129</v>
      </c>
      <c r="Q114" s="82">
        <f t="shared" si="8"/>
        <v>109</v>
      </c>
    </row>
    <row r="115" spans="1:17" ht="20.25" customHeight="1">
      <c r="A115" s="85"/>
      <c r="B115" s="152"/>
      <c r="C115" s="86"/>
      <c r="D115" s="87"/>
      <c r="E115" s="88" t="str">
        <f>IFERROR(VLOOKUP(D115,ProductMaster!$A:$B,2,FALSE),"")</f>
        <v/>
      </c>
      <c r="F115" s="88" t="str">
        <f>IFERROR(VLOOKUP(D115,ProductMaster!$A:$C,3,FALSE),"")</f>
        <v/>
      </c>
      <c r="G115" s="89" t="str">
        <f>IFERROR(VLOOKUP($D115,ProductMaster!$A:$O,4,FALSE),"")</f>
        <v/>
      </c>
      <c r="H115" s="90"/>
      <c r="I115" s="123">
        <f>IFERROR(VLOOKUP(E115,ProductMaster!B:G,6,FALSE),0)</f>
        <v>0</v>
      </c>
      <c r="J115" s="123">
        <f t="shared" si="7"/>
        <v>0</v>
      </c>
      <c r="K115" s="123">
        <f t="shared" si="9"/>
        <v>0</v>
      </c>
      <c r="L115" s="91"/>
      <c r="M115" s="92" t="s">
        <v>127</v>
      </c>
      <c r="N115" s="92" t="s">
        <v>1711</v>
      </c>
      <c r="O115" s="93">
        <v>0</v>
      </c>
      <c r="P115" s="86" t="s">
        <v>129</v>
      </c>
      <c r="Q115" s="82">
        <f t="shared" si="8"/>
        <v>110</v>
      </c>
    </row>
    <row r="116" spans="1:17" ht="20.25" customHeight="1">
      <c r="A116" s="85"/>
      <c r="B116" s="152"/>
      <c r="C116" s="86"/>
      <c r="D116" s="87"/>
      <c r="E116" s="88" t="str">
        <f>IFERROR(VLOOKUP(D116,ProductMaster!$A:$B,2,FALSE),"")</f>
        <v/>
      </c>
      <c r="F116" s="88" t="str">
        <f>IFERROR(VLOOKUP(D116,ProductMaster!$A:$C,3,FALSE),"")</f>
        <v/>
      </c>
      <c r="G116" s="89" t="str">
        <f>IFERROR(VLOOKUP($D116,ProductMaster!$A:$O,4,FALSE),"")</f>
        <v/>
      </c>
      <c r="H116" s="90"/>
      <c r="I116" s="123">
        <f>IFERROR(VLOOKUP(E116,ProductMaster!B:G,6,FALSE),0)</f>
        <v>0</v>
      </c>
      <c r="J116" s="123">
        <f t="shared" si="7"/>
        <v>0</v>
      </c>
      <c r="K116" s="123">
        <f t="shared" si="9"/>
        <v>0</v>
      </c>
      <c r="L116" s="91"/>
      <c r="M116" s="92" t="s">
        <v>127</v>
      </c>
      <c r="N116" s="92" t="s">
        <v>1711</v>
      </c>
      <c r="O116" s="93">
        <v>0</v>
      </c>
      <c r="P116" s="86" t="s">
        <v>129</v>
      </c>
      <c r="Q116" s="82">
        <f t="shared" si="8"/>
        <v>111</v>
      </c>
    </row>
    <row r="117" spans="1:17" ht="20.25" customHeight="1">
      <c r="A117" s="85"/>
      <c r="B117" s="152"/>
      <c r="C117" s="86"/>
      <c r="D117" s="87"/>
      <c r="E117" s="88" t="str">
        <f>IFERROR(VLOOKUP(D117,ProductMaster!$A:$B,2,FALSE),"")</f>
        <v/>
      </c>
      <c r="F117" s="88" t="str">
        <f>IFERROR(VLOOKUP(D117,ProductMaster!$A:$C,3,FALSE),"")</f>
        <v/>
      </c>
      <c r="G117" s="89" t="str">
        <f>IFERROR(VLOOKUP($D117,ProductMaster!$A:$O,4,FALSE),"")</f>
        <v/>
      </c>
      <c r="H117" s="90"/>
      <c r="I117" s="123">
        <f>IFERROR(VLOOKUP(E117,ProductMaster!B:G,6,FALSE),0)</f>
        <v>0</v>
      </c>
      <c r="J117" s="123">
        <f t="shared" si="7"/>
        <v>0</v>
      </c>
      <c r="K117" s="123">
        <f t="shared" si="9"/>
        <v>0</v>
      </c>
      <c r="L117" s="91"/>
      <c r="M117" s="92" t="s">
        <v>127</v>
      </c>
      <c r="N117" s="92" t="s">
        <v>1711</v>
      </c>
      <c r="O117" s="93"/>
      <c r="P117" s="86" t="s">
        <v>129</v>
      </c>
      <c r="Q117" s="82">
        <f t="shared" si="8"/>
        <v>112</v>
      </c>
    </row>
    <row r="118" spans="1:17" ht="20.25" customHeight="1">
      <c r="A118" s="85"/>
      <c r="B118" s="152"/>
      <c r="C118" s="86"/>
      <c r="D118" s="87"/>
      <c r="E118" s="88" t="str">
        <f>IFERROR(VLOOKUP(D118,ProductMaster!$A:$B,2,FALSE),"")</f>
        <v/>
      </c>
      <c r="F118" s="88" t="str">
        <f>IFERROR(VLOOKUP(D118,ProductMaster!$A:$C,3,FALSE),"")</f>
        <v/>
      </c>
      <c r="G118" s="89" t="str">
        <f>IFERROR(VLOOKUP($D118,ProductMaster!$A:$O,4,FALSE),"")</f>
        <v/>
      </c>
      <c r="H118" s="90"/>
      <c r="I118" s="123">
        <f>IFERROR(VLOOKUP(E118,ProductMaster!B:G,6,FALSE),0)</f>
        <v>0</v>
      </c>
      <c r="J118" s="123">
        <f t="shared" si="7"/>
        <v>0</v>
      </c>
      <c r="K118" s="123">
        <f t="shared" si="9"/>
        <v>0</v>
      </c>
      <c r="L118" s="91"/>
      <c r="M118" s="92" t="s">
        <v>127</v>
      </c>
      <c r="N118" s="92" t="s">
        <v>1711</v>
      </c>
      <c r="O118" s="93"/>
      <c r="P118" s="86" t="s">
        <v>129</v>
      </c>
      <c r="Q118" s="82">
        <f t="shared" si="8"/>
        <v>113</v>
      </c>
    </row>
    <row r="119" spans="1:17" ht="20.25" customHeight="1">
      <c r="A119" s="85"/>
      <c r="B119" s="152"/>
      <c r="C119" s="86"/>
      <c r="D119" s="87"/>
      <c r="E119" s="88" t="str">
        <f>IFERROR(VLOOKUP(D119,ProductMaster!$A:$B,2,FALSE),"")</f>
        <v/>
      </c>
      <c r="F119" s="88" t="str">
        <f>IFERROR(VLOOKUP(D119,ProductMaster!$A:$C,3,FALSE),"")</f>
        <v/>
      </c>
      <c r="G119" s="89" t="str">
        <f>IFERROR(VLOOKUP($D119,ProductMaster!$A:$O,4,FALSE),"")</f>
        <v/>
      </c>
      <c r="H119" s="90"/>
      <c r="I119" s="123">
        <f>IFERROR(VLOOKUP(E119,ProductMaster!B:G,6,FALSE),0)</f>
        <v>0</v>
      </c>
      <c r="J119" s="123">
        <f t="shared" si="7"/>
        <v>0</v>
      </c>
      <c r="K119" s="123">
        <f t="shared" si="9"/>
        <v>0</v>
      </c>
      <c r="L119" s="91"/>
      <c r="M119" s="92" t="s">
        <v>127</v>
      </c>
      <c r="N119" s="92" t="s">
        <v>1711</v>
      </c>
      <c r="O119" s="93"/>
      <c r="P119" s="86" t="s">
        <v>129</v>
      </c>
      <c r="Q119" s="82">
        <f t="shared" si="8"/>
        <v>114</v>
      </c>
    </row>
    <row r="120" spans="1:17" ht="20.25" customHeight="1">
      <c r="A120" s="85"/>
      <c r="B120" s="152"/>
      <c r="C120" s="86"/>
      <c r="D120" s="87"/>
      <c r="E120" s="88" t="str">
        <f>IFERROR(VLOOKUP(D120,ProductMaster!$A:$B,2,FALSE),"")</f>
        <v/>
      </c>
      <c r="F120" s="88" t="str">
        <f>IFERROR(VLOOKUP(D120,ProductMaster!$A:$C,3,FALSE),"")</f>
        <v/>
      </c>
      <c r="G120" s="89" t="str">
        <f>IFERROR(VLOOKUP($D120,ProductMaster!$A:$O,4,FALSE),"")</f>
        <v/>
      </c>
      <c r="H120" s="90"/>
      <c r="I120" s="123">
        <f>IFERROR(VLOOKUP(E120,ProductMaster!B:G,6,FALSE),0)</f>
        <v>0</v>
      </c>
      <c r="J120" s="123">
        <f t="shared" si="7"/>
        <v>0</v>
      </c>
      <c r="K120" s="123">
        <f t="shared" si="9"/>
        <v>0</v>
      </c>
      <c r="L120" s="91"/>
      <c r="M120" s="92" t="s">
        <v>127</v>
      </c>
      <c r="N120" s="92" t="s">
        <v>1711</v>
      </c>
      <c r="O120" s="93"/>
      <c r="P120" s="86" t="s">
        <v>129</v>
      </c>
      <c r="Q120" s="82">
        <f t="shared" si="8"/>
        <v>115</v>
      </c>
    </row>
    <row r="121" spans="1:17" ht="20.25" customHeight="1">
      <c r="A121" s="85"/>
      <c r="B121" s="152"/>
      <c r="C121" s="86"/>
      <c r="D121" s="87"/>
      <c r="E121" s="88" t="str">
        <f>IFERROR(VLOOKUP(D121,ProductMaster!$A:$B,2,FALSE),"")</f>
        <v/>
      </c>
      <c r="F121" s="88" t="str">
        <f>IFERROR(VLOOKUP(D121,ProductMaster!$A:$C,3,FALSE),"")</f>
        <v/>
      </c>
      <c r="G121" s="89" t="str">
        <f>IFERROR(VLOOKUP($D121,ProductMaster!$A:$O,4,FALSE),"")</f>
        <v/>
      </c>
      <c r="H121" s="90"/>
      <c r="I121" s="123">
        <f>IFERROR(VLOOKUP(E121,ProductMaster!B:G,6,FALSE),0)</f>
        <v>0</v>
      </c>
      <c r="J121" s="123">
        <f t="shared" si="7"/>
        <v>0</v>
      </c>
      <c r="K121" s="123">
        <f t="shared" si="9"/>
        <v>0</v>
      </c>
      <c r="L121" s="91"/>
      <c r="M121" s="92" t="s">
        <v>127</v>
      </c>
      <c r="N121" s="92" t="s">
        <v>1711</v>
      </c>
      <c r="O121" s="93"/>
      <c r="P121" s="86" t="s">
        <v>129</v>
      </c>
      <c r="Q121" s="82">
        <f t="shared" si="8"/>
        <v>116</v>
      </c>
    </row>
    <row r="122" spans="1:17" ht="20.25" customHeight="1">
      <c r="A122" s="85"/>
      <c r="B122" s="152"/>
      <c r="C122" s="86"/>
      <c r="D122" s="87"/>
      <c r="E122" s="88" t="str">
        <f>IFERROR(VLOOKUP(D122,ProductMaster!$A:$B,2,FALSE),"")</f>
        <v/>
      </c>
      <c r="F122" s="88" t="str">
        <f>IFERROR(VLOOKUP(D122,ProductMaster!$A:$C,3,FALSE),"")</f>
        <v/>
      </c>
      <c r="G122" s="89" t="str">
        <f>IFERROR(VLOOKUP($D122,ProductMaster!$A:$O,4,FALSE),"")</f>
        <v/>
      </c>
      <c r="H122" s="90"/>
      <c r="I122" s="123">
        <f>IFERROR(VLOOKUP(E122,ProductMaster!B:G,6,FALSE),0)</f>
        <v>0</v>
      </c>
      <c r="J122" s="123">
        <f t="shared" si="7"/>
        <v>0</v>
      </c>
      <c r="K122" s="123">
        <f t="shared" si="9"/>
        <v>0</v>
      </c>
      <c r="L122" s="91"/>
      <c r="M122" s="92" t="s">
        <v>127</v>
      </c>
      <c r="N122" s="92" t="s">
        <v>1711</v>
      </c>
      <c r="O122" s="93"/>
      <c r="P122" s="86" t="s">
        <v>129</v>
      </c>
      <c r="Q122" s="82">
        <f t="shared" si="8"/>
        <v>117</v>
      </c>
    </row>
    <row r="123" spans="1:17" ht="20.25" customHeight="1">
      <c r="A123" s="85"/>
      <c r="B123" s="152"/>
      <c r="C123" s="86"/>
      <c r="D123" s="87"/>
      <c r="E123" s="88" t="str">
        <f>IFERROR(VLOOKUP(D123,ProductMaster!$A:$B,2,FALSE),"")</f>
        <v/>
      </c>
      <c r="F123" s="88" t="str">
        <f>IFERROR(VLOOKUP(D123,ProductMaster!$A:$C,3,FALSE),"")</f>
        <v/>
      </c>
      <c r="G123" s="89" t="str">
        <f>IFERROR(VLOOKUP($D123,ProductMaster!$A:$O,4,FALSE),"")</f>
        <v/>
      </c>
      <c r="H123" s="90"/>
      <c r="I123" s="123">
        <f>IFERROR(VLOOKUP(E123,ProductMaster!B:G,6,FALSE),0)</f>
        <v>0</v>
      </c>
      <c r="J123" s="123">
        <f t="shared" si="7"/>
        <v>0</v>
      </c>
      <c r="K123" s="123">
        <f t="shared" si="9"/>
        <v>0</v>
      </c>
      <c r="L123" s="91"/>
      <c r="M123" s="92" t="s">
        <v>127</v>
      </c>
      <c r="N123" s="92" t="s">
        <v>1711</v>
      </c>
      <c r="O123" s="93">
        <v>0</v>
      </c>
      <c r="P123" s="86" t="s">
        <v>129</v>
      </c>
      <c r="Q123" s="82">
        <f t="shared" si="8"/>
        <v>118</v>
      </c>
    </row>
    <row r="124" spans="1:17" ht="20.25" customHeight="1">
      <c r="A124" s="85"/>
      <c r="B124" s="152"/>
      <c r="C124" s="86"/>
      <c r="D124" s="87"/>
      <c r="E124" s="88" t="str">
        <f>IFERROR(VLOOKUP(D124,ProductMaster!$A:$B,2,FALSE),"")</f>
        <v/>
      </c>
      <c r="F124" s="88" t="str">
        <f>IFERROR(VLOOKUP(D124,ProductMaster!$A:$C,3,FALSE),"")</f>
        <v/>
      </c>
      <c r="G124" s="89" t="str">
        <f>IFERROR(VLOOKUP($D124,ProductMaster!$A:$O,4,FALSE),"")</f>
        <v/>
      </c>
      <c r="H124" s="90"/>
      <c r="I124" s="123">
        <f>IFERROR(VLOOKUP(E124,ProductMaster!B:G,6,FALSE),0)</f>
        <v>0</v>
      </c>
      <c r="J124" s="123">
        <f t="shared" si="7"/>
        <v>0</v>
      </c>
      <c r="K124" s="123">
        <f t="shared" si="9"/>
        <v>0</v>
      </c>
      <c r="L124" s="91"/>
      <c r="M124" s="92" t="s">
        <v>127</v>
      </c>
      <c r="N124" s="92" t="s">
        <v>1711</v>
      </c>
      <c r="O124" s="93">
        <v>0</v>
      </c>
      <c r="P124" s="86" t="s">
        <v>129</v>
      </c>
      <c r="Q124" s="82">
        <f t="shared" si="8"/>
        <v>119</v>
      </c>
    </row>
    <row r="125" spans="1:17" ht="20.25" customHeight="1">
      <c r="A125" s="85"/>
      <c r="B125" s="152"/>
      <c r="C125" s="86"/>
      <c r="D125" s="87"/>
      <c r="E125" s="88" t="str">
        <f>IFERROR(VLOOKUP(D125,ProductMaster!$A:$B,2,FALSE),"")</f>
        <v/>
      </c>
      <c r="F125" s="88" t="str">
        <f>IFERROR(VLOOKUP(D125,ProductMaster!$A:$C,3,FALSE),"")</f>
        <v/>
      </c>
      <c r="G125" s="89" t="str">
        <f>IFERROR(VLOOKUP($D125,ProductMaster!$A:$O,4,FALSE),"")</f>
        <v/>
      </c>
      <c r="H125" s="90"/>
      <c r="I125" s="123">
        <f>IFERROR(VLOOKUP(E125,ProductMaster!B:G,6,FALSE),0)</f>
        <v>0</v>
      </c>
      <c r="J125" s="123">
        <f t="shared" si="7"/>
        <v>0</v>
      </c>
      <c r="K125" s="123">
        <f t="shared" si="9"/>
        <v>0</v>
      </c>
      <c r="L125" s="91"/>
      <c r="M125" s="92" t="s">
        <v>127</v>
      </c>
      <c r="N125" s="92" t="s">
        <v>1711</v>
      </c>
      <c r="O125" s="93">
        <v>0</v>
      </c>
      <c r="P125" s="86" t="s">
        <v>129</v>
      </c>
      <c r="Q125" s="82">
        <f t="shared" si="8"/>
        <v>120</v>
      </c>
    </row>
    <row r="126" spans="1:17" ht="20.25" customHeight="1">
      <c r="A126" s="85"/>
      <c r="B126" s="152"/>
      <c r="C126" s="86"/>
      <c r="D126" s="87"/>
      <c r="E126" s="88" t="str">
        <f>IFERROR(VLOOKUP(D126,ProductMaster!$A:$B,2,FALSE),"")</f>
        <v/>
      </c>
      <c r="F126" s="88" t="str">
        <f>IFERROR(VLOOKUP(D126,ProductMaster!$A:$C,3,FALSE),"")</f>
        <v/>
      </c>
      <c r="G126" s="89" t="str">
        <f>IFERROR(VLOOKUP($D126,ProductMaster!$A:$O,4,FALSE),"")</f>
        <v/>
      </c>
      <c r="H126" s="90"/>
      <c r="I126" s="123">
        <f>IFERROR(VLOOKUP(E126,ProductMaster!B:G,6,FALSE),0)</f>
        <v>0</v>
      </c>
      <c r="J126" s="123">
        <f t="shared" si="7"/>
        <v>0</v>
      </c>
      <c r="K126" s="123">
        <f t="shared" si="9"/>
        <v>0</v>
      </c>
      <c r="L126" s="91"/>
      <c r="M126" s="92" t="s">
        <v>127</v>
      </c>
      <c r="N126" s="92" t="s">
        <v>1711</v>
      </c>
      <c r="O126" s="93">
        <v>0</v>
      </c>
      <c r="P126" s="86" t="s">
        <v>129</v>
      </c>
      <c r="Q126" s="82">
        <f t="shared" si="8"/>
        <v>121</v>
      </c>
    </row>
    <row r="127" spans="1:17" ht="20.25" customHeight="1">
      <c r="A127" s="85"/>
      <c r="B127" s="152"/>
      <c r="C127" s="86"/>
      <c r="D127" s="87"/>
      <c r="E127" s="88" t="str">
        <f>IFERROR(VLOOKUP(D127,ProductMaster!$A:$B,2,FALSE),"")</f>
        <v/>
      </c>
      <c r="F127" s="88" t="str">
        <f>IFERROR(VLOOKUP(D127,ProductMaster!$A:$C,3,FALSE),"")</f>
        <v/>
      </c>
      <c r="G127" s="89" t="str">
        <f>IFERROR(VLOOKUP($D127,ProductMaster!$A:$O,4,FALSE),"")</f>
        <v/>
      </c>
      <c r="H127" s="90"/>
      <c r="I127" s="123">
        <f>IFERROR(VLOOKUP(E127,ProductMaster!B:G,6,FALSE),0)</f>
        <v>0</v>
      </c>
      <c r="J127" s="123">
        <f t="shared" si="7"/>
        <v>0</v>
      </c>
      <c r="K127" s="123">
        <f t="shared" si="9"/>
        <v>0</v>
      </c>
      <c r="L127" s="91"/>
      <c r="M127" s="92" t="s">
        <v>127</v>
      </c>
      <c r="N127" s="92" t="s">
        <v>1711</v>
      </c>
      <c r="O127" s="93">
        <v>0</v>
      </c>
      <c r="P127" s="86" t="s">
        <v>129</v>
      </c>
      <c r="Q127" s="82">
        <f t="shared" si="8"/>
        <v>122</v>
      </c>
    </row>
    <row r="128" spans="1:17" ht="20.25" customHeight="1">
      <c r="A128" s="85"/>
      <c r="B128" s="152"/>
      <c r="C128" s="86"/>
      <c r="D128" s="87"/>
      <c r="E128" s="88" t="str">
        <f>IFERROR(VLOOKUP(D128,ProductMaster!$A:$B,2,FALSE),"")</f>
        <v/>
      </c>
      <c r="F128" s="88" t="str">
        <f>IFERROR(VLOOKUP(D128,ProductMaster!$A:$C,3,FALSE),"")</f>
        <v/>
      </c>
      <c r="G128" s="89" t="str">
        <f>IFERROR(VLOOKUP($D128,ProductMaster!$A:$O,4,FALSE),"")</f>
        <v/>
      </c>
      <c r="H128" s="90"/>
      <c r="I128" s="123">
        <f>IFERROR(VLOOKUP(E128,ProductMaster!B:G,6,FALSE),0)</f>
        <v>0</v>
      </c>
      <c r="J128" s="123">
        <f t="shared" si="7"/>
        <v>0</v>
      </c>
      <c r="K128" s="123">
        <f t="shared" si="9"/>
        <v>0</v>
      </c>
      <c r="L128" s="91"/>
      <c r="M128" s="92" t="s">
        <v>127</v>
      </c>
      <c r="N128" s="92" t="s">
        <v>1711</v>
      </c>
      <c r="O128" s="93">
        <v>0</v>
      </c>
      <c r="P128" s="86" t="s">
        <v>129</v>
      </c>
      <c r="Q128" s="82">
        <f t="shared" si="8"/>
        <v>123</v>
      </c>
    </row>
    <row r="129" spans="1:17" ht="20.25" customHeight="1">
      <c r="A129" s="85"/>
      <c r="B129" s="152"/>
      <c r="C129" s="86"/>
      <c r="D129" s="87"/>
      <c r="E129" s="88" t="str">
        <f>IFERROR(VLOOKUP(D129,ProductMaster!$A:$B,2,FALSE),"")</f>
        <v/>
      </c>
      <c r="F129" s="88" t="str">
        <f>IFERROR(VLOOKUP(D129,ProductMaster!$A:$C,3,FALSE),"")</f>
        <v/>
      </c>
      <c r="G129" s="89" t="str">
        <f>IFERROR(VLOOKUP($D129,ProductMaster!$A:$O,4,FALSE),"")</f>
        <v/>
      </c>
      <c r="H129" s="90"/>
      <c r="I129" s="123">
        <f>IFERROR(VLOOKUP(E129,ProductMaster!B:G,6,FALSE),0)</f>
        <v>0</v>
      </c>
      <c r="J129" s="123">
        <f t="shared" si="7"/>
        <v>0</v>
      </c>
      <c r="K129" s="123">
        <f t="shared" si="9"/>
        <v>0</v>
      </c>
      <c r="L129" s="91"/>
      <c r="M129" s="92" t="s">
        <v>127</v>
      </c>
      <c r="N129" s="92" t="s">
        <v>1711</v>
      </c>
      <c r="O129" s="93">
        <v>0</v>
      </c>
      <c r="P129" s="86" t="s">
        <v>129</v>
      </c>
      <c r="Q129" s="82">
        <f t="shared" si="8"/>
        <v>124</v>
      </c>
    </row>
    <row r="130" spans="1:17" ht="20.25" customHeight="1">
      <c r="A130" s="85"/>
      <c r="B130" s="152"/>
      <c r="C130" s="86"/>
      <c r="D130" s="87"/>
      <c r="E130" s="88" t="str">
        <f>IFERROR(VLOOKUP(D130,ProductMaster!$A:$B,2,FALSE),"")</f>
        <v/>
      </c>
      <c r="F130" s="88" t="str">
        <f>IFERROR(VLOOKUP(D130,ProductMaster!$A:$C,3,FALSE),"")</f>
        <v/>
      </c>
      <c r="G130" s="89" t="str">
        <f>IFERROR(VLOOKUP($D130,ProductMaster!$A:$O,4,FALSE),"")</f>
        <v/>
      </c>
      <c r="H130" s="90"/>
      <c r="I130" s="123">
        <f>IFERROR(VLOOKUP(E130,ProductMaster!B:G,6,FALSE),0)</f>
        <v>0</v>
      </c>
      <c r="J130" s="123">
        <f t="shared" si="7"/>
        <v>0</v>
      </c>
      <c r="K130" s="123">
        <f t="shared" si="9"/>
        <v>0</v>
      </c>
      <c r="L130" s="91"/>
      <c r="M130" s="92" t="s">
        <v>127</v>
      </c>
      <c r="N130" s="92" t="s">
        <v>1711</v>
      </c>
      <c r="O130" s="93">
        <v>0</v>
      </c>
      <c r="P130" s="86" t="s">
        <v>129</v>
      </c>
      <c r="Q130" s="82">
        <f t="shared" si="8"/>
        <v>125</v>
      </c>
    </row>
    <row r="131" spans="1:17" ht="20.25" customHeight="1">
      <c r="A131" s="85"/>
      <c r="B131" s="152"/>
      <c r="C131" s="86"/>
      <c r="D131" s="87"/>
      <c r="E131" s="88" t="str">
        <f>IFERROR(VLOOKUP(D131,ProductMaster!$A:$B,2,FALSE),"")</f>
        <v/>
      </c>
      <c r="F131" s="88" t="str">
        <f>IFERROR(VLOOKUP(D131,ProductMaster!$A:$C,3,FALSE),"")</f>
        <v/>
      </c>
      <c r="G131" s="89" t="str">
        <f>IFERROR(VLOOKUP($D131,ProductMaster!$A:$O,4,FALSE),"")</f>
        <v/>
      </c>
      <c r="H131" s="90"/>
      <c r="I131" s="123">
        <f>IFERROR(VLOOKUP(E131,ProductMaster!B:G,6,FALSE),0)</f>
        <v>0</v>
      </c>
      <c r="J131" s="123">
        <f t="shared" ref="J131:J194" si="10">ROUND(SUM(I131*7%),2)</f>
        <v>0</v>
      </c>
      <c r="K131" s="123">
        <f t="shared" si="9"/>
        <v>0</v>
      </c>
      <c r="L131" s="91"/>
      <c r="M131" s="92" t="s">
        <v>127</v>
      </c>
      <c r="N131" s="92" t="s">
        <v>1711</v>
      </c>
      <c r="O131" s="93">
        <v>0</v>
      </c>
      <c r="P131" s="86" t="s">
        <v>129</v>
      </c>
      <c r="Q131" s="82">
        <f t="shared" ref="Q131:Q194" si="11">IF(B131=B130,Q130+1,1)</f>
        <v>126</v>
      </c>
    </row>
    <row r="132" spans="1:17" ht="20.25" customHeight="1">
      <c r="A132" s="85"/>
      <c r="B132" s="152"/>
      <c r="C132" s="86"/>
      <c r="D132" s="87"/>
      <c r="E132" s="88" t="str">
        <f>IFERROR(VLOOKUP(D132,ProductMaster!$A:$B,2,FALSE),"")</f>
        <v/>
      </c>
      <c r="F132" s="88" t="str">
        <f>IFERROR(VLOOKUP(D132,ProductMaster!$A:$C,3,FALSE),"")</f>
        <v/>
      </c>
      <c r="G132" s="89" t="str">
        <f>IFERROR(VLOOKUP($D132,ProductMaster!$A:$O,4,FALSE),"")</f>
        <v/>
      </c>
      <c r="H132" s="90"/>
      <c r="I132" s="123">
        <f>IFERROR(VLOOKUP(E132,ProductMaster!B:G,6,FALSE),0)</f>
        <v>0</v>
      </c>
      <c r="J132" s="123">
        <f t="shared" si="10"/>
        <v>0</v>
      </c>
      <c r="K132" s="123">
        <f t="shared" si="9"/>
        <v>0</v>
      </c>
      <c r="L132" s="91"/>
      <c r="M132" s="92" t="s">
        <v>127</v>
      </c>
      <c r="N132" s="92" t="s">
        <v>1711</v>
      </c>
      <c r="O132" s="93">
        <v>0</v>
      </c>
      <c r="P132" s="86" t="s">
        <v>129</v>
      </c>
      <c r="Q132" s="82">
        <f t="shared" si="11"/>
        <v>127</v>
      </c>
    </row>
    <row r="133" spans="1:17" ht="20.25" customHeight="1">
      <c r="A133" s="85"/>
      <c r="B133" s="152"/>
      <c r="C133" s="86"/>
      <c r="D133" s="87"/>
      <c r="E133" s="88" t="str">
        <f>IFERROR(VLOOKUP(D133,ProductMaster!$A:$B,2,FALSE),"")</f>
        <v/>
      </c>
      <c r="F133" s="88" t="str">
        <f>IFERROR(VLOOKUP(D133,ProductMaster!$A:$C,3,FALSE),"")</f>
        <v/>
      </c>
      <c r="G133" s="89" t="str">
        <f>IFERROR(VLOOKUP($D133,ProductMaster!$A:$O,4,FALSE),"")</f>
        <v/>
      </c>
      <c r="H133" s="90"/>
      <c r="I133" s="123">
        <f>IFERROR(VLOOKUP(E133,ProductMaster!B:G,6,FALSE),0)</f>
        <v>0</v>
      </c>
      <c r="J133" s="123">
        <f t="shared" si="10"/>
        <v>0</v>
      </c>
      <c r="K133" s="123">
        <f t="shared" si="9"/>
        <v>0</v>
      </c>
      <c r="L133" s="91"/>
      <c r="M133" s="92" t="s">
        <v>127</v>
      </c>
      <c r="N133" s="92" t="s">
        <v>1711</v>
      </c>
      <c r="O133" s="93">
        <v>0</v>
      </c>
      <c r="P133" s="86" t="s">
        <v>129</v>
      </c>
      <c r="Q133" s="82">
        <f t="shared" si="11"/>
        <v>128</v>
      </c>
    </row>
    <row r="134" spans="1:17" ht="20.25" customHeight="1">
      <c r="A134" s="85"/>
      <c r="B134" s="152"/>
      <c r="C134" s="86"/>
      <c r="D134" s="87"/>
      <c r="E134" s="88" t="str">
        <f>IFERROR(VLOOKUP(D134,ProductMaster!$A:$B,2,FALSE),"")</f>
        <v/>
      </c>
      <c r="F134" s="88" t="str">
        <f>IFERROR(VLOOKUP(D134,ProductMaster!$A:$C,3,FALSE),"")</f>
        <v/>
      </c>
      <c r="G134" s="89" t="str">
        <f>IFERROR(VLOOKUP($D134,ProductMaster!$A:$O,4,FALSE),"")</f>
        <v/>
      </c>
      <c r="H134" s="90"/>
      <c r="I134" s="123">
        <f>IFERROR(VLOOKUP(E134,ProductMaster!B:G,6,FALSE),0)</f>
        <v>0</v>
      </c>
      <c r="J134" s="123">
        <f t="shared" si="10"/>
        <v>0</v>
      </c>
      <c r="K134" s="123">
        <f t="shared" si="9"/>
        <v>0</v>
      </c>
      <c r="L134" s="91"/>
      <c r="M134" s="92" t="s">
        <v>127</v>
      </c>
      <c r="N134" s="92" t="s">
        <v>1711</v>
      </c>
      <c r="O134" s="93">
        <v>0</v>
      </c>
      <c r="P134" s="86" t="s">
        <v>129</v>
      </c>
      <c r="Q134" s="82">
        <f t="shared" si="11"/>
        <v>129</v>
      </c>
    </row>
    <row r="135" spans="1:17" ht="20.25" customHeight="1">
      <c r="A135" s="85"/>
      <c r="B135" s="152"/>
      <c r="C135" s="86"/>
      <c r="D135" s="87"/>
      <c r="E135" s="88" t="str">
        <f>IFERROR(VLOOKUP(D135,ProductMaster!$A:$B,2,FALSE),"")</f>
        <v/>
      </c>
      <c r="F135" s="88" t="str">
        <f>IFERROR(VLOOKUP(D135,ProductMaster!$A:$C,3,FALSE),"")</f>
        <v/>
      </c>
      <c r="G135" s="89" t="str">
        <f>IFERROR(VLOOKUP($D135,ProductMaster!$A:$O,4,FALSE),"")</f>
        <v/>
      </c>
      <c r="H135" s="90"/>
      <c r="I135" s="123">
        <f>IFERROR(VLOOKUP(E135,ProductMaster!B:G,6,FALSE),0)</f>
        <v>0</v>
      </c>
      <c r="J135" s="123">
        <f t="shared" si="10"/>
        <v>0</v>
      </c>
      <c r="K135" s="123">
        <f t="shared" si="9"/>
        <v>0</v>
      </c>
      <c r="L135" s="91"/>
      <c r="M135" s="92" t="s">
        <v>127</v>
      </c>
      <c r="N135" s="92" t="s">
        <v>1711</v>
      </c>
      <c r="O135" s="93">
        <v>0</v>
      </c>
      <c r="P135" s="86" t="s">
        <v>129</v>
      </c>
      <c r="Q135" s="82">
        <f t="shared" si="11"/>
        <v>130</v>
      </c>
    </row>
    <row r="136" spans="1:17" ht="20.25" customHeight="1">
      <c r="A136" s="85"/>
      <c r="B136" s="152"/>
      <c r="C136" s="86"/>
      <c r="D136" s="87"/>
      <c r="E136" s="88" t="str">
        <f>IFERROR(VLOOKUP(D136,ProductMaster!$A:$B,2,FALSE),"")</f>
        <v/>
      </c>
      <c r="F136" s="88" t="str">
        <f>IFERROR(VLOOKUP(D136,ProductMaster!$A:$C,3,FALSE),"")</f>
        <v/>
      </c>
      <c r="G136" s="89" t="str">
        <f>IFERROR(VLOOKUP($D136,ProductMaster!$A:$O,4,FALSE),"")</f>
        <v/>
      </c>
      <c r="H136" s="90"/>
      <c r="I136" s="123">
        <f>IFERROR(VLOOKUP(E136,ProductMaster!B:G,6,FALSE),0)</f>
        <v>0</v>
      </c>
      <c r="J136" s="123">
        <f t="shared" si="10"/>
        <v>0</v>
      </c>
      <c r="K136" s="123">
        <f t="shared" si="9"/>
        <v>0</v>
      </c>
      <c r="L136" s="91"/>
      <c r="M136" s="92" t="s">
        <v>127</v>
      </c>
      <c r="N136" s="92" t="s">
        <v>1711</v>
      </c>
      <c r="O136" s="93">
        <v>0</v>
      </c>
      <c r="P136" s="86" t="s">
        <v>129</v>
      </c>
      <c r="Q136" s="82">
        <f t="shared" si="11"/>
        <v>131</v>
      </c>
    </row>
    <row r="137" spans="1:17" ht="20.25" customHeight="1">
      <c r="A137" s="85"/>
      <c r="B137" s="152"/>
      <c r="C137" s="86"/>
      <c r="D137" s="87"/>
      <c r="E137" s="88" t="str">
        <f>IFERROR(VLOOKUP(D137,ProductMaster!$A:$B,2,FALSE),"")</f>
        <v/>
      </c>
      <c r="F137" s="88" t="str">
        <f>IFERROR(VLOOKUP(D137,ProductMaster!$A:$C,3,FALSE),"")</f>
        <v/>
      </c>
      <c r="G137" s="89" t="str">
        <f>IFERROR(VLOOKUP($D137,ProductMaster!$A:$O,4,FALSE),"")</f>
        <v/>
      </c>
      <c r="H137" s="90"/>
      <c r="I137" s="123">
        <f>IFERROR(VLOOKUP(E137,ProductMaster!B:G,6,FALSE),0)</f>
        <v>0</v>
      </c>
      <c r="J137" s="123">
        <f t="shared" si="10"/>
        <v>0</v>
      </c>
      <c r="K137" s="123">
        <f t="shared" si="9"/>
        <v>0</v>
      </c>
      <c r="L137" s="91"/>
      <c r="M137" s="92" t="s">
        <v>127</v>
      </c>
      <c r="N137" s="92" t="s">
        <v>1711</v>
      </c>
      <c r="O137" s="93">
        <v>0</v>
      </c>
      <c r="P137" s="86" t="s">
        <v>129</v>
      </c>
      <c r="Q137" s="82">
        <f t="shared" si="11"/>
        <v>132</v>
      </c>
    </row>
    <row r="138" spans="1:17" ht="20.25" customHeight="1">
      <c r="A138" s="85"/>
      <c r="B138" s="152"/>
      <c r="C138" s="86"/>
      <c r="D138" s="87"/>
      <c r="E138" s="88" t="str">
        <f>IFERROR(VLOOKUP(D138,ProductMaster!$A:$B,2,FALSE),"")</f>
        <v/>
      </c>
      <c r="F138" s="88" t="str">
        <f>IFERROR(VLOOKUP(D138,ProductMaster!$A:$C,3,FALSE),"")</f>
        <v/>
      </c>
      <c r="G138" s="89" t="str">
        <f>IFERROR(VLOOKUP($D138,ProductMaster!$A:$O,4,FALSE),"")</f>
        <v/>
      </c>
      <c r="H138" s="90"/>
      <c r="I138" s="123">
        <f>IFERROR(VLOOKUP(E138,ProductMaster!B:G,6,FALSE),0)</f>
        <v>0</v>
      </c>
      <c r="J138" s="123">
        <f t="shared" si="10"/>
        <v>0</v>
      </c>
      <c r="K138" s="123">
        <f t="shared" si="9"/>
        <v>0</v>
      </c>
      <c r="L138" s="91"/>
      <c r="M138" s="92" t="s">
        <v>127</v>
      </c>
      <c r="N138" s="92" t="s">
        <v>1711</v>
      </c>
      <c r="O138" s="93">
        <v>0</v>
      </c>
      <c r="P138" s="86" t="s">
        <v>129</v>
      </c>
      <c r="Q138" s="82">
        <f t="shared" si="11"/>
        <v>133</v>
      </c>
    </row>
    <row r="139" spans="1:17" ht="20.25" customHeight="1">
      <c r="A139" s="85"/>
      <c r="B139" s="152"/>
      <c r="C139" s="86"/>
      <c r="D139" s="87"/>
      <c r="E139" s="88" t="str">
        <f>IFERROR(VLOOKUP(D139,ProductMaster!$A:$B,2,FALSE),"")</f>
        <v/>
      </c>
      <c r="F139" s="88" t="str">
        <f>IFERROR(VLOOKUP(D139,ProductMaster!$A:$C,3,FALSE),"")</f>
        <v/>
      </c>
      <c r="G139" s="89" t="str">
        <f>IFERROR(VLOOKUP($D139,ProductMaster!$A:$O,4,FALSE),"")</f>
        <v/>
      </c>
      <c r="H139" s="90"/>
      <c r="I139" s="123">
        <f>IFERROR(VLOOKUP(E139,ProductMaster!B:G,6,FALSE),0)</f>
        <v>0</v>
      </c>
      <c r="J139" s="123">
        <f t="shared" si="10"/>
        <v>0</v>
      </c>
      <c r="K139" s="123">
        <f t="shared" si="9"/>
        <v>0</v>
      </c>
      <c r="L139" s="91"/>
      <c r="M139" s="92" t="s">
        <v>127</v>
      </c>
      <c r="N139" s="92" t="s">
        <v>1711</v>
      </c>
      <c r="O139" s="93">
        <v>0</v>
      </c>
      <c r="P139" s="86" t="s">
        <v>129</v>
      </c>
      <c r="Q139" s="82">
        <f t="shared" si="11"/>
        <v>134</v>
      </c>
    </row>
    <row r="140" spans="1:17" ht="20.25" customHeight="1">
      <c r="A140" s="85"/>
      <c r="B140" s="152"/>
      <c r="C140" s="86"/>
      <c r="D140" s="87"/>
      <c r="E140" s="88" t="str">
        <f>IFERROR(VLOOKUP(D140,ProductMaster!$A:$B,2,FALSE),"")</f>
        <v/>
      </c>
      <c r="F140" s="88" t="str">
        <f>IFERROR(VLOOKUP(D140,ProductMaster!$A:$C,3,FALSE),"")</f>
        <v/>
      </c>
      <c r="G140" s="89" t="str">
        <f>IFERROR(VLOOKUP($D140,ProductMaster!$A:$O,4,FALSE),"")</f>
        <v/>
      </c>
      <c r="H140" s="90"/>
      <c r="I140" s="123">
        <f>IFERROR(VLOOKUP(E140,ProductMaster!B:G,6,FALSE),0)</f>
        <v>0</v>
      </c>
      <c r="J140" s="123">
        <f t="shared" si="10"/>
        <v>0</v>
      </c>
      <c r="K140" s="123">
        <f t="shared" si="9"/>
        <v>0</v>
      </c>
      <c r="L140" s="91"/>
      <c r="M140" s="92" t="s">
        <v>127</v>
      </c>
      <c r="N140" s="92" t="s">
        <v>1711</v>
      </c>
      <c r="O140" s="93">
        <v>0</v>
      </c>
      <c r="P140" s="86" t="s">
        <v>129</v>
      </c>
      <c r="Q140" s="82">
        <f t="shared" si="11"/>
        <v>135</v>
      </c>
    </row>
    <row r="141" spans="1:17" ht="20.25" customHeight="1">
      <c r="A141" s="85"/>
      <c r="B141" s="152"/>
      <c r="C141" s="86"/>
      <c r="D141" s="87"/>
      <c r="E141" s="88" t="str">
        <f>IFERROR(VLOOKUP(D141,ProductMaster!$A:$B,2,FALSE),"")</f>
        <v/>
      </c>
      <c r="F141" s="88" t="str">
        <f>IFERROR(VLOOKUP(D141,ProductMaster!$A:$C,3,FALSE),"")</f>
        <v/>
      </c>
      <c r="G141" s="89" t="str">
        <f>IFERROR(VLOOKUP($D141,ProductMaster!$A:$O,4,FALSE),"")</f>
        <v/>
      </c>
      <c r="H141" s="90"/>
      <c r="I141" s="123">
        <f>IFERROR(VLOOKUP(E141,ProductMaster!B:G,6,FALSE),0)</f>
        <v>0</v>
      </c>
      <c r="J141" s="123">
        <f t="shared" si="10"/>
        <v>0</v>
      </c>
      <c r="K141" s="123">
        <f t="shared" si="9"/>
        <v>0</v>
      </c>
      <c r="L141" s="91"/>
      <c r="M141" s="92" t="s">
        <v>127</v>
      </c>
      <c r="N141" s="92" t="s">
        <v>1711</v>
      </c>
      <c r="O141" s="93">
        <v>0</v>
      </c>
      <c r="P141" s="86" t="s">
        <v>129</v>
      </c>
      <c r="Q141" s="82">
        <f t="shared" si="11"/>
        <v>136</v>
      </c>
    </row>
    <row r="142" spans="1:17" ht="20.25" customHeight="1">
      <c r="A142" s="85"/>
      <c r="B142" s="152"/>
      <c r="C142" s="86"/>
      <c r="D142" s="87"/>
      <c r="E142" s="88" t="str">
        <f>IFERROR(VLOOKUP(D142,ProductMaster!$A:$B,2,FALSE),"")</f>
        <v/>
      </c>
      <c r="F142" s="88" t="str">
        <f>IFERROR(VLOOKUP(D142,ProductMaster!$A:$C,3,FALSE),"")</f>
        <v/>
      </c>
      <c r="G142" s="89" t="str">
        <f>IFERROR(VLOOKUP($D142,ProductMaster!$A:$O,4,FALSE),"")</f>
        <v/>
      </c>
      <c r="H142" s="90"/>
      <c r="I142" s="123">
        <f>IFERROR(VLOOKUP(E142,ProductMaster!B:G,6,FALSE),0)</f>
        <v>0</v>
      </c>
      <c r="J142" s="123">
        <f t="shared" si="10"/>
        <v>0</v>
      </c>
      <c r="K142" s="123">
        <f t="shared" si="9"/>
        <v>0</v>
      </c>
      <c r="L142" s="91"/>
      <c r="M142" s="92" t="s">
        <v>127</v>
      </c>
      <c r="N142" s="92" t="s">
        <v>1711</v>
      </c>
      <c r="O142" s="93">
        <v>0</v>
      </c>
      <c r="P142" s="86" t="s">
        <v>129</v>
      </c>
      <c r="Q142" s="82">
        <f t="shared" si="11"/>
        <v>137</v>
      </c>
    </row>
    <row r="143" spans="1:17" ht="20.25" customHeight="1">
      <c r="A143" s="85"/>
      <c r="B143" s="152"/>
      <c r="C143" s="86"/>
      <c r="D143" s="87"/>
      <c r="E143" s="88" t="str">
        <f>IFERROR(VLOOKUP(D143,ProductMaster!$A:$B,2,FALSE),"")</f>
        <v/>
      </c>
      <c r="F143" s="88" t="str">
        <f>IFERROR(VLOOKUP(D143,ProductMaster!$A:$C,3,FALSE),"")</f>
        <v/>
      </c>
      <c r="G143" s="89" t="str">
        <f>IFERROR(VLOOKUP($D143,ProductMaster!$A:$O,4,FALSE),"")</f>
        <v/>
      </c>
      <c r="H143" s="90"/>
      <c r="I143" s="123">
        <f>IFERROR(VLOOKUP(E143,ProductMaster!B:G,6,FALSE),0)</f>
        <v>0</v>
      </c>
      <c r="J143" s="123">
        <f t="shared" si="10"/>
        <v>0</v>
      </c>
      <c r="K143" s="123">
        <f t="shared" si="9"/>
        <v>0</v>
      </c>
      <c r="L143" s="91"/>
      <c r="M143" s="92" t="s">
        <v>127</v>
      </c>
      <c r="N143" s="92" t="s">
        <v>1711</v>
      </c>
      <c r="O143" s="93">
        <v>0</v>
      </c>
      <c r="P143" s="86" t="s">
        <v>129</v>
      </c>
      <c r="Q143" s="82">
        <f t="shared" si="11"/>
        <v>138</v>
      </c>
    </row>
    <row r="144" spans="1:17" ht="20.25" customHeight="1">
      <c r="A144" s="85"/>
      <c r="B144" s="152"/>
      <c r="C144" s="86"/>
      <c r="D144" s="87"/>
      <c r="E144" s="88" t="str">
        <f>IFERROR(VLOOKUP(D144,ProductMaster!$A:$B,2,FALSE),"")</f>
        <v/>
      </c>
      <c r="F144" s="88" t="str">
        <f>IFERROR(VLOOKUP(D144,ProductMaster!$A:$C,3,FALSE),"")</f>
        <v/>
      </c>
      <c r="G144" s="89" t="str">
        <f>IFERROR(VLOOKUP($D144,ProductMaster!$A:$O,4,FALSE),"")</f>
        <v/>
      </c>
      <c r="H144" s="90"/>
      <c r="I144" s="123">
        <f>IFERROR(VLOOKUP(E144,ProductMaster!B:G,6,FALSE),0)</f>
        <v>0</v>
      </c>
      <c r="J144" s="123">
        <f t="shared" si="10"/>
        <v>0</v>
      </c>
      <c r="K144" s="123">
        <f t="shared" si="9"/>
        <v>0</v>
      </c>
      <c r="L144" s="91"/>
      <c r="M144" s="92" t="s">
        <v>127</v>
      </c>
      <c r="N144" s="92" t="s">
        <v>1711</v>
      </c>
      <c r="O144" s="93">
        <v>0</v>
      </c>
      <c r="P144" s="86" t="s">
        <v>129</v>
      </c>
      <c r="Q144" s="82">
        <f t="shared" si="11"/>
        <v>139</v>
      </c>
    </row>
    <row r="145" spans="1:17" ht="20.25" customHeight="1">
      <c r="A145" s="85"/>
      <c r="B145" s="152"/>
      <c r="C145" s="86"/>
      <c r="D145" s="87"/>
      <c r="E145" s="88" t="str">
        <f>IFERROR(VLOOKUP(D145,ProductMaster!$A:$B,2,FALSE),"")</f>
        <v/>
      </c>
      <c r="F145" s="88" t="str">
        <f>IFERROR(VLOOKUP(D145,ProductMaster!$A:$C,3,FALSE),"")</f>
        <v/>
      </c>
      <c r="G145" s="89" t="str">
        <f>IFERROR(VLOOKUP($D145,ProductMaster!$A:$O,4,FALSE),"")</f>
        <v/>
      </c>
      <c r="H145" s="90"/>
      <c r="I145" s="123">
        <f>IFERROR(VLOOKUP(E145,ProductMaster!B:G,6,FALSE),0)</f>
        <v>0</v>
      </c>
      <c r="J145" s="123">
        <f t="shared" si="10"/>
        <v>0</v>
      </c>
      <c r="K145" s="123">
        <f t="shared" ref="K145:K208" si="12">ROUND(SUM(H145*I145),2)</f>
        <v>0</v>
      </c>
      <c r="L145" s="91"/>
      <c r="M145" s="92" t="s">
        <v>127</v>
      </c>
      <c r="N145" s="92" t="s">
        <v>1711</v>
      </c>
      <c r="O145" s="93">
        <v>0</v>
      </c>
      <c r="P145" s="86" t="s">
        <v>129</v>
      </c>
      <c r="Q145" s="82">
        <f t="shared" si="11"/>
        <v>140</v>
      </c>
    </row>
    <row r="146" spans="1:17" ht="20.25" customHeight="1">
      <c r="A146" s="85"/>
      <c r="B146" s="152"/>
      <c r="C146" s="86"/>
      <c r="D146" s="87"/>
      <c r="E146" s="88" t="str">
        <f>IFERROR(VLOOKUP(D146,ProductMaster!$A:$B,2,FALSE),"")</f>
        <v/>
      </c>
      <c r="F146" s="88" t="str">
        <f>IFERROR(VLOOKUP(D146,ProductMaster!$A:$C,3,FALSE),"")</f>
        <v/>
      </c>
      <c r="G146" s="89" t="str">
        <f>IFERROR(VLOOKUP($D146,ProductMaster!$A:$O,4,FALSE),"")</f>
        <v/>
      </c>
      <c r="H146" s="90"/>
      <c r="I146" s="123">
        <f>IFERROR(VLOOKUP(E146,ProductMaster!B:G,6,FALSE),0)</f>
        <v>0</v>
      </c>
      <c r="J146" s="123">
        <f t="shared" si="10"/>
        <v>0</v>
      </c>
      <c r="K146" s="123">
        <f t="shared" si="12"/>
        <v>0</v>
      </c>
      <c r="L146" s="91"/>
      <c r="M146" s="92" t="s">
        <v>127</v>
      </c>
      <c r="N146" s="92" t="s">
        <v>1711</v>
      </c>
      <c r="O146" s="93">
        <v>0</v>
      </c>
      <c r="P146" s="86" t="s">
        <v>129</v>
      </c>
      <c r="Q146" s="82">
        <f t="shared" si="11"/>
        <v>141</v>
      </c>
    </row>
    <row r="147" spans="1:17" ht="20.25" customHeight="1">
      <c r="A147" s="85"/>
      <c r="B147" s="152"/>
      <c r="C147" s="86"/>
      <c r="D147" s="87"/>
      <c r="E147" s="88" t="str">
        <f>IFERROR(VLOOKUP(D147,ProductMaster!$A:$B,2,FALSE),"")</f>
        <v/>
      </c>
      <c r="F147" s="88" t="str">
        <f>IFERROR(VLOOKUP(D147,ProductMaster!$A:$C,3,FALSE),"")</f>
        <v/>
      </c>
      <c r="G147" s="89" t="str">
        <f>IFERROR(VLOOKUP($D147,ProductMaster!$A:$O,4,FALSE),"")</f>
        <v/>
      </c>
      <c r="H147" s="90"/>
      <c r="I147" s="123">
        <f>IFERROR(VLOOKUP(E147,ProductMaster!B:G,6,FALSE),0)</f>
        <v>0</v>
      </c>
      <c r="J147" s="123">
        <f t="shared" si="10"/>
        <v>0</v>
      </c>
      <c r="K147" s="123">
        <f t="shared" si="12"/>
        <v>0</v>
      </c>
      <c r="L147" s="91"/>
      <c r="M147" s="92" t="s">
        <v>127</v>
      </c>
      <c r="N147" s="92" t="s">
        <v>1711</v>
      </c>
      <c r="O147" s="93">
        <v>0</v>
      </c>
      <c r="P147" s="86" t="s">
        <v>129</v>
      </c>
      <c r="Q147" s="82">
        <f t="shared" si="11"/>
        <v>142</v>
      </c>
    </row>
    <row r="148" spans="1:17" ht="20.25" customHeight="1">
      <c r="A148" s="85"/>
      <c r="B148" s="152"/>
      <c r="C148" s="86"/>
      <c r="D148" s="87"/>
      <c r="E148" s="88" t="str">
        <f>IFERROR(VLOOKUP(D148,ProductMaster!$A:$B,2,FALSE),"")</f>
        <v/>
      </c>
      <c r="F148" s="88" t="str">
        <f>IFERROR(VLOOKUP(D148,ProductMaster!$A:$C,3,FALSE),"")</f>
        <v/>
      </c>
      <c r="G148" s="89" t="str">
        <f>IFERROR(VLOOKUP($D148,ProductMaster!$A:$O,4,FALSE),"")</f>
        <v/>
      </c>
      <c r="H148" s="90"/>
      <c r="I148" s="123">
        <f>IFERROR(VLOOKUP(E148,ProductMaster!B:G,6,FALSE),0)</f>
        <v>0</v>
      </c>
      <c r="J148" s="123">
        <f t="shared" si="10"/>
        <v>0</v>
      </c>
      <c r="K148" s="123">
        <f t="shared" si="12"/>
        <v>0</v>
      </c>
      <c r="L148" s="91"/>
      <c r="M148" s="92" t="s">
        <v>127</v>
      </c>
      <c r="N148" s="92" t="s">
        <v>1711</v>
      </c>
      <c r="O148" s="93">
        <v>0</v>
      </c>
      <c r="P148" s="86" t="s">
        <v>129</v>
      </c>
      <c r="Q148" s="82">
        <f t="shared" si="11"/>
        <v>143</v>
      </c>
    </row>
    <row r="149" spans="1:17" ht="20.25" customHeight="1">
      <c r="A149" s="85"/>
      <c r="B149" s="152"/>
      <c r="C149" s="86"/>
      <c r="D149" s="87"/>
      <c r="E149" s="88" t="str">
        <f>IFERROR(VLOOKUP(D149,ProductMaster!$A:$B,2,FALSE),"")</f>
        <v/>
      </c>
      <c r="F149" s="88" t="str">
        <f>IFERROR(VLOOKUP(D149,ProductMaster!$A:$C,3,FALSE),"")</f>
        <v/>
      </c>
      <c r="G149" s="89" t="str">
        <f>IFERROR(VLOOKUP($D149,ProductMaster!$A:$O,4,FALSE),"")</f>
        <v/>
      </c>
      <c r="H149" s="90"/>
      <c r="I149" s="123">
        <f>IFERROR(VLOOKUP(E149,ProductMaster!B:G,6,FALSE),0)</f>
        <v>0</v>
      </c>
      <c r="J149" s="123">
        <f t="shared" si="10"/>
        <v>0</v>
      </c>
      <c r="K149" s="123">
        <f t="shared" si="12"/>
        <v>0</v>
      </c>
      <c r="L149" s="91"/>
      <c r="M149" s="92" t="s">
        <v>127</v>
      </c>
      <c r="N149" s="92" t="s">
        <v>1711</v>
      </c>
      <c r="O149" s="93">
        <v>0</v>
      </c>
      <c r="P149" s="86" t="s">
        <v>129</v>
      </c>
      <c r="Q149" s="82">
        <f t="shared" si="11"/>
        <v>144</v>
      </c>
    </row>
    <row r="150" spans="1:17" ht="20.25" customHeight="1">
      <c r="A150" s="85"/>
      <c r="B150" s="152"/>
      <c r="C150" s="86"/>
      <c r="D150" s="87"/>
      <c r="E150" s="88" t="str">
        <f>IFERROR(VLOOKUP(D150,ProductMaster!$A:$B,2,FALSE),"")</f>
        <v/>
      </c>
      <c r="F150" s="88" t="str">
        <f>IFERROR(VLOOKUP(D150,ProductMaster!$A:$C,3,FALSE),"")</f>
        <v/>
      </c>
      <c r="G150" s="89" t="str">
        <f>IFERROR(VLOOKUP($D150,ProductMaster!$A:$O,4,FALSE),"")</f>
        <v/>
      </c>
      <c r="H150" s="90"/>
      <c r="I150" s="123">
        <f>IFERROR(VLOOKUP(E150,ProductMaster!B:G,6,FALSE),0)</f>
        <v>0</v>
      </c>
      <c r="J150" s="123">
        <f t="shared" si="10"/>
        <v>0</v>
      </c>
      <c r="K150" s="123">
        <f t="shared" si="12"/>
        <v>0</v>
      </c>
      <c r="L150" s="91"/>
      <c r="M150" s="92" t="s">
        <v>127</v>
      </c>
      <c r="N150" s="92" t="s">
        <v>1711</v>
      </c>
      <c r="O150" s="93">
        <v>0</v>
      </c>
      <c r="P150" s="86" t="s">
        <v>129</v>
      </c>
      <c r="Q150" s="82">
        <f t="shared" si="11"/>
        <v>145</v>
      </c>
    </row>
    <row r="151" spans="1:17" ht="20.25" customHeight="1">
      <c r="A151" s="85"/>
      <c r="B151" s="152"/>
      <c r="C151" s="86"/>
      <c r="D151" s="87"/>
      <c r="E151" s="88" t="str">
        <f>IFERROR(VLOOKUP(D151,ProductMaster!$A:$B,2,FALSE),"")</f>
        <v/>
      </c>
      <c r="F151" s="88" t="str">
        <f>IFERROR(VLOOKUP(D151,ProductMaster!$A:$C,3,FALSE),"")</f>
        <v/>
      </c>
      <c r="G151" s="89" t="str">
        <f>IFERROR(VLOOKUP($D151,ProductMaster!$A:$O,4,FALSE),"")</f>
        <v/>
      </c>
      <c r="H151" s="90"/>
      <c r="I151" s="123">
        <f>IFERROR(VLOOKUP(E151,ProductMaster!B:G,6,FALSE),0)</f>
        <v>0</v>
      </c>
      <c r="J151" s="123">
        <f t="shared" si="10"/>
        <v>0</v>
      </c>
      <c r="K151" s="123">
        <f t="shared" si="12"/>
        <v>0</v>
      </c>
      <c r="L151" s="91"/>
      <c r="M151" s="92" t="s">
        <v>127</v>
      </c>
      <c r="N151" s="92" t="s">
        <v>1711</v>
      </c>
      <c r="O151" s="93">
        <v>0</v>
      </c>
      <c r="P151" s="86" t="s">
        <v>129</v>
      </c>
      <c r="Q151" s="82">
        <f t="shared" si="11"/>
        <v>146</v>
      </c>
    </row>
    <row r="152" spans="1:17" ht="20.25" customHeight="1">
      <c r="A152" s="85"/>
      <c r="B152" s="152"/>
      <c r="C152" s="86"/>
      <c r="D152" s="87"/>
      <c r="E152" s="88" t="str">
        <f>IFERROR(VLOOKUP(D152,ProductMaster!$A:$B,2,FALSE),"")</f>
        <v/>
      </c>
      <c r="F152" s="88" t="str">
        <f>IFERROR(VLOOKUP(D152,ProductMaster!$A:$C,3,FALSE),"")</f>
        <v/>
      </c>
      <c r="G152" s="89" t="str">
        <f>IFERROR(VLOOKUP($D152,ProductMaster!$A:$O,4,FALSE),"")</f>
        <v/>
      </c>
      <c r="H152" s="90"/>
      <c r="I152" s="123">
        <f>IFERROR(VLOOKUP(E152,ProductMaster!B:G,6,FALSE),0)</f>
        <v>0</v>
      </c>
      <c r="J152" s="123">
        <f t="shared" si="10"/>
        <v>0</v>
      </c>
      <c r="K152" s="123">
        <f t="shared" si="12"/>
        <v>0</v>
      </c>
      <c r="L152" s="91"/>
      <c r="M152" s="92" t="s">
        <v>127</v>
      </c>
      <c r="N152" s="92" t="s">
        <v>1711</v>
      </c>
      <c r="O152" s="93">
        <v>0</v>
      </c>
      <c r="P152" s="86" t="s">
        <v>129</v>
      </c>
      <c r="Q152" s="82">
        <f t="shared" si="11"/>
        <v>147</v>
      </c>
    </row>
    <row r="153" spans="1:17" ht="20.25" customHeight="1">
      <c r="A153" s="85"/>
      <c r="B153" s="152"/>
      <c r="C153" s="86"/>
      <c r="D153" s="87"/>
      <c r="E153" s="88" t="str">
        <f>IFERROR(VLOOKUP(D153,ProductMaster!$A:$B,2,FALSE),"")</f>
        <v/>
      </c>
      <c r="F153" s="88" t="str">
        <f>IFERROR(VLOOKUP(D153,ProductMaster!$A:$C,3,FALSE),"")</f>
        <v/>
      </c>
      <c r="G153" s="89" t="str">
        <f>IFERROR(VLOOKUP($D153,ProductMaster!$A:$O,4,FALSE),"")</f>
        <v/>
      </c>
      <c r="H153" s="90"/>
      <c r="I153" s="123">
        <f>IFERROR(VLOOKUP(E153,ProductMaster!B:G,6,FALSE),0)</f>
        <v>0</v>
      </c>
      <c r="J153" s="123">
        <f t="shared" si="10"/>
        <v>0</v>
      </c>
      <c r="K153" s="123">
        <f t="shared" si="12"/>
        <v>0</v>
      </c>
      <c r="L153" s="91"/>
      <c r="M153" s="92" t="s">
        <v>127</v>
      </c>
      <c r="N153" s="92" t="s">
        <v>1711</v>
      </c>
      <c r="O153" s="93">
        <v>0</v>
      </c>
      <c r="P153" s="86" t="s">
        <v>129</v>
      </c>
      <c r="Q153" s="82">
        <f t="shared" si="11"/>
        <v>148</v>
      </c>
    </row>
    <row r="154" spans="1:17" ht="20.25" customHeight="1">
      <c r="A154" s="85"/>
      <c r="B154" s="152"/>
      <c r="C154" s="86"/>
      <c r="D154" s="87"/>
      <c r="E154" s="88" t="str">
        <f>IFERROR(VLOOKUP(D154,ProductMaster!$A:$B,2,FALSE),"")</f>
        <v/>
      </c>
      <c r="F154" s="88" t="str">
        <f>IFERROR(VLOOKUP(D154,ProductMaster!$A:$C,3,FALSE),"")</f>
        <v/>
      </c>
      <c r="G154" s="89" t="str">
        <f>IFERROR(VLOOKUP($D154,ProductMaster!$A:$O,4,FALSE),"")</f>
        <v/>
      </c>
      <c r="H154" s="90"/>
      <c r="I154" s="123">
        <f>IFERROR(VLOOKUP(E154,ProductMaster!B:G,6,FALSE),0)</f>
        <v>0</v>
      </c>
      <c r="J154" s="123">
        <f t="shared" si="10"/>
        <v>0</v>
      </c>
      <c r="K154" s="123">
        <f t="shared" si="12"/>
        <v>0</v>
      </c>
      <c r="L154" s="91"/>
      <c r="M154" s="92" t="s">
        <v>127</v>
      </c>
      <c r="N154" s="92" t="s">
        <v>1711</v>
      </c>
      <c r="O154" s="93">
        <v>0</v>
      </c>
      <c r="P154" s="86" t="s">
        <v>129</v>
      </c>
      <c r="Q154" s="82">
        <f t="shared" si="11"/>
        <v>149</v>
      </c>
    </row>
    <row r="155" spans="1:17" ht="20.25" customHeight="1">
      <c r="A155" s="85"/>
      <c r="B155" s="152"/>
      <c r="C155" s="86"/>
      <c r="D155" s="87"/>
      <c r="E155" s="88" t="str">
        <f>IFERROR(VLOOKUP(D155,ProductMaster!$A:$B,2,FALSE),"")</f>
        <v/>
      </c>
      <c r="F155" s="88" t="str">
        <f>IFERROR(VLOOKUP(D155,ProductMaster!$A:$C,3,FALSE),"")</f>
        <v/>
      </c>
      <c r="G155" s="89" t="str">
        <f>IFERROR(VLOOKUP($D155,ProductMaster!$A:$O,4,FALSE),"")</f>
        <v/>
      </c>
      <c r="H155" s="90"/>
      <c r="I155" s="123">
        <f>IFERROR(VLOOKUP(E155,ProductMaster!B:G,6,FALSE),0)</f>
        <v>0</v>
      </c>
      <c r="J155" s="123">
        <f t="shared" si="10"/>
        <v>0</v>
      </c>
      <c r="K155" s="123">
        <f t="shared" si="12"/>
        <v>0</v>
      </c>
      <c r="L155" s="91"/>
      <c r="M155" s="92"/>
      <c r="N155" s="92"/>
      <c r="O155" s="93">
        <v>0</v>
      </c>
      <c r="P155" s="86"/>
      <c r="Q155" s="82">
        <f t="shared" si="11"/>
        <v>150</v>
      </c>
    </row>
    <row r="156" spans="1:17" ht="20.25" customHeight="1">
      <c r="A156" s="85"/>
      <c r="B156" s="152"/>
      <c r="C156" s="86"/>
      <c r="D156" s="87"/>
      <c r="E156" s="88" t="str">
        <f>IFERROR(VLOOKUP(D156,ProductMaster!$A:$B,2,FALSE),"")</f>
        <v/>
      </c>
      <c r="F156" s="88" t="str">
        <f>IFERROR(VLOOKUP(D156,ProductMaster!$A:$C,3,FALSE),"")</f>
        <v/>
      </c>
      <c r="G156" s="89" t="str">
        <f>IFERROR(VLOOKUP($D156,ProductMaster!$A:$O,4,FALSE),"")</f>
        <v/>
      </c>
      <c r="H156" s="90"/>
      <c r="I156" s="123">
        <f>IFERROR(VLOOKUP(E156,ProductMaster!B:G,6,FALSE),0)</f>
        <v>0</v>
      </c>
      <c r="J156" s="123">
        <f t="shared" si="10"/>
        <v>0</v>
      </c>
      <c r="K156" s="123">
        <f t="shared" si="12"/>
        <v>0</v>
      </c>
      <c r="L156" s="91"/>
      <c r="M156" s="92"/>
      <c r="N156" s="92"/>
      <c r="O156" s="93">
        <v>0</v>
      </c>
      <c r="P156" s="86"/>
      <c r="Q156" s="82">
        <f t="shared" si="11"/>
        <v>151</v>
      </c>
    </row>
    <row r="157" spans="1:17" ht="20.25" customHeight="1">
      <c r="A157" s="85"/>
      <c r="B157" s="152"/>
      <c r="C157" s="86"/>
      <c r="D157" s="87"/>
      <c r="E157" s="88" t="str">
        <f>IFERROR(VLOOKUP(D157,ProductMaster!$A:$B,2,FALSE),"")</f>
        <v/>
      </c>
      <c r="F157" s="88" t="str">
        <f>IFERROR(VLOOKUP(D157,ProductMaster!$A:$C,3,FALSE),"")</f>
        <v/>
      </c>
      <c r="G157" s="89" t="str">
        <f>IFERROR(VLOOKUP($D157,ProductMaster!$A:$O,4,FALSE),"")</f>
        <v/>
      </c>
      <c r="H157" s="90"/>
      <c r="I157" s="123">
        <f>IFERROR(VLOOKUP(E157,ProductMaster!B:G,6,FALSE),0)</f>
        <v>0</v>
      </c>
      <c r="J157" s="123">
        <f t="shared" si="10"/>
        <v>0</v>
      </c>
      <c r="K157" s="123">
        <f t="shared" si="12"/>
        <v>0</v>
      </c>
      <c r="L157" s="91"/>
      <c r="M157" s="92"/>
      <c r="N157" s="92"/>
      <c r="O157" s="93">
        <v>0</v>
      </c>
      <c r="P157" s="86"/>
      <c r="Q157" s="82">
        <f t="shared" si="11"/>
        <v>152</v>
      </c>
    </row>
    <row r="158" spans="1:17" ht="20.25" customHeight="1">
      <c r="A158" s="85"/>
      <c r="B158" s="152"/>
      <c r="C158" s="86"/>
      <c r="D158" s="87"/>
      <c r="E158" s="88" t="str">
        <f>IFERROR(VLOOKUP(D158,ProductMaster!$A:$B,2,FALSE),"")</f>
        <v/>
      </c>
      <c r="F158" s="88" t="str">
        <f>IFERROR(VLOOKUP(D158,ProductMaster!$A:$C,3,FALSE),"")</f>
        <v/>
      </c>
      <c r="G158" s="89" t="str">
        <f>IFERROR(VLOOKUP($D158,ProductMaster!$A:$O,4,FALSE),"")</f>
        <v/>
      </c>
      <c r="H158" s="90"/>
      <c r="I158" s="123">
        <f>IFERROR(VLOOKUP(E158,ProductMaster!B:G,6,FALSE),0)</f>
        <v>0</v>
      </c>
      <c r="J158" s="123">
        <f t="shared" si="10"/>
        <v>0</v>
      </c>
      <c r="K158" s="123">
        <f t="shared" si="12"/>
        <v>0</v>
      </c>
      <c r="L158" s="91"/>
      <c r="M158" s="92"/>
      <c r="N158" s="92"/>
      <c r="O158" s="93">
        <v>0</v>
      </c>
      <c r="P158" s="86"/>
      <c r="Q158" s="82">
        <f t="shared" si="11"/>
        <v>153</v>
      </c>
    </row>
    <row r="159" spans="1:17" ht="20.25" customHeight="1">
      <c r="A159" s="85"/>
      <c r="B159" s="152"/>
      <c r="C159" s="86"/>
      <c r="D159" s="87"/>
      <c r="E159" s="88" t="str">
        <f>IFERROR(VLOOKUP(D159,ProductMaster!$A:$B,2,FALSE),"")</f>
        <v/>
      </c>
      <c r="F159" s="88" t="str">
        <f>IFERROR(VLOOKUP(D159,ProductMaster!$A:$C,3,FALSE),"")</f>
        <v/>
      </c>
      <c r="G159" s="89" t="str">
        <f>IFERROR(VLOOKUP($D159,ProductMaster!$A:$O,4,FALSE),"")</f>
        <v/>
      </c>
      <c r="H159" s="90"/>
      <c r="I159" s="123">
        <f>IFERROR(VLOOKUP(E159,ProductMaster!B:G,6,FALSE),0)</f>
        <v>0</v>
      </c>
      <c r="J159" s="123">
        <f t="shared" si="10"/>
        <v>0</v>
      </c>
      <c r="K159" s="123">
        <f t="shared" si="12"/>
        <v>0</v>
      </c>
      <c r="L159" s="91"/>
      <c r="M159" s="92"/>
      <c r="N159" s="92"/>
      <c r="O159" s="93">
        <v>0</v>
      </c>
      <c r="P159" s="86"/>
      <c r="Q159" s="82">
        <f t="shared" si="11"/>
        <v>154</v>
      </c>
    </row>
    <row r="160" spans="1:17" ht="20.25" customHeight="1">
      <c r="A160" s="85"/>
      <c r="B160" s="152"/>
      <c r="C160" s="86"/>
      <c r="D160" s="87"/>
      <c r="E160" s="88" t="str">
        <f>IFERROR(VLOOKUP(D160,ProductMaster!$A:$B,2,FALSE),"")</f>
        <v/>
      </c>
      <c r="F160" s="88" t="str">
        <f>IFERROR(VLOOKUP(D160,ProductMaster!$A:$C,3,FALSE),"")</f>
        <v/>
      </c>
      <c r="G160" s="89" t="str">
        <f>IFERROR(VLOOKUP($D160,ProductMaster!$A:$O,4,FALSE),"")</f>
        <v/>
      </c>
      <c r="H160" s="90"/>
      <c r="I160" s="123">
        <f>IFERROR(VLOOKUP(E160,ProductMaster!B:G,6,FALSE),0)</f>
        <v>0</v>
      </c>
      <c r="J160" s="123">
        <f t="shared" si="10"/>
        <v>0</v>
      </c>
      <c r="K160" s="123">
        <f t="shared" si="12"/>
        <v>0</v>
      </c>
      <c r="L160" s="91"/>
      <c r="M160" s="92"/>
      <c r="N160" s="92"/>
      <c r="O160" s="93">
        <v>0</v>
      </c>
      <c r="P160" s="86"/>
      <c r="Q160" s="82">
        <f t="shared" si="11"/>
        <v>155</v>
      </c>
    </row>
    <row r="161" spans="1:17" ht="20.25" customHeight="1">
      <c r="A161" s="85"/>
      <c r="B161" s="152"/>
      <c r="C161" s="86"/>
      <c r="D161" s="87"/>
      <c r="E161" s="88" t="str">
        <f>IFERROR(VLOOKUP(D161,ProductMaster!$A:$B,2,FALSE),"")</f>
        <v/>
      </c>
      <c r="F161" s="88" t="str">
        <f>IFERROR(VLOOKUP(D161,ProductMaster!$A:$C,3,FALSE),"")</f>
        <v/>
      </c>
      <c r="G161" s="89" t="str">
        <f>IFERROR(VLOOKUP($D161,ProductMaster!$A:$O,4,FALSE),"")</f>
        <v/>
      </c>
      <c r="H161" s="90"/>
      <c r="I161" s="123">
        <f>IFERROR(VLOOKUP(E161,ProductMaster!B:G,6,FALSE),0)</f>
        <v>0</v>
      </c>
      <c r="J161" s="123">
        <f t="shared" si="10"/>
        <v>0</v>
      </c>
      <c r="K161" s="123">
        <f t="shared" si="12"/>
        <v>0</v>
      </c>
      <c r="L161" s="91"/>
      <c r="M161" s="92"/>
      <c r="N161" s="92"/>
      <c r="O161" s="93">
        <v>0</v>
      </c>
      <c r="P161" s="86"/>
      <c r="Q161" s="82">
        <f t="shared" si="11"/>
        <v>156</v>
      </c>
    </row>
    <row r="162" spans="1:17" ht="20.25" customHeight="1">
      <c r="A162" s="85"/>
      <c r="B162" s="152"/>
      <c r="C162" s="86"/>
      <c r="D162" s="87"/>
      <c r="E162" s="88" t="str">
        <f>IFERROR(VLOOKUP(D162,ProductMaster!$A:$B,2,FALSE),"")</f>
        <v/>
      </c>
      <c r="F162" s="88" t="str">
        <f>IFERROR(VLOOKUP(D162,ProductMaster!$A:$C,3,FALSE),"")</f>
        <v/>
      </c>
      <c r="G162" s="89" t="str">
        <f>IFERROR(VLOOKUP($D162,ProductMaster!$A:$O,4,FALSE),"")</f>
        <v/>
      </c>
      <c r="H162" s="90"/>
      <c r="I162" s="123">
        <f>IFERROR(VLOOKUP(E162,ProductMaster!B:G,6,FALSE),0)</f>
        <v>0</v>
      </c>
      <c r="J162" s="123">
        <f t="shared" si="10"/>
        <v>0</v>
      </c>
      <c r="K162" s="123">
        <f t="shared" si="12"/>
        <v>0</v>
      </c>
      <c r="L162" s="91"/>
      <c r="M162" s="92"/>
      <c r="N162" s="92"/>
      <c r="O162" s="93">
        <v>0</v>
      </c>
      <c r="P162" s="86"/>
      <c r="Q162" s="82">
        <f t="shared" si="11"/>
        <v>157</v>
      </c>
    </row>
    <row r="163" spans="1:17" ht="20.25" customHeight="1">
      <c r="A163" s="85"/>
      <c r="B163" s="152"/>
      <c r="C163" s="86"/>
      <c r="D163" s="87"/>
      <c r="E163" s="88" t="str">
        <f>IFERROR(VLOOKUP(D163,ProductMaster!$A:$B,2,FALSE),"")</f>
        <v/>
      </c>
      <c r="F163" s="88" t="str">
        <f>IFERROR(VLOOKUP(D163,ProductMaster!$A:$C,3,FALSE),"")</f>
        <v/>
      </c>
      <c r="G163" s="89" t="str">
        <f>IFERROR(VLOOKUP($D163,ProductMaster!$A:$O,4,FALSE),"")</f>
        <v/>
      </c>
      <c r="H163" s="90"/>
      <c r="I163" s="123">
        <f>IFERROR(VLOOKUP(E163,ProductMaster!B:G,6,FALSE),0)</f>
        <v>0</v>
      </c>
      <c r="J163" s="123">
        <f t="shared" si="10"/>
        <v>0</v>
      </c>
      <c r="K163" s="123">
        <f t="shared" si="12"/>
        <v>0</v>
      </c>
      <c r="L163" s="91"/>
      <c r="M163" s="92"/>
      <c r="N163" s="92"/>
      <c r="O163" s="93">
        <v>0</v>
      </c>
      <c r="P163" s="86"/>
      <c r="Q163" s="82">
        <f t="shared" si="11"/>
        <v>158</v>
      </c>
    </row>
    <row r="164" spans="1:17" ht="20.25" customHeight="1">
      <c r="A164" s="85"/>
      <c r="B164" s="152"/>
      <c r="C164" s="86"/>
      <c r="D164" s="87"/>
      <c r="E164" s="88" t="str">
        <f>IFERROR(VLOOKUP(D164,ProductMaster!$A:$B,2,FALSE),"")</f>
        <v/>
      </c>
      <c r="F164" s="88" t="str">
        <f>IFERROR(VLOOKUP(D164,ProductMaster!$A:$C,3,FALSE),"")</f>
        <v/>
      </c>
      <c r="G164" s="89" t="str">
        <f>IFERROR(VLOOKUP($D164,ProductMaster!$A:$O,4,FALSE),"")</f>
        <v/>
      </c>
      <c r="H164" s="90"/>
      <c r="I164" s="123">
        <f>IFERROR(VLOOKUP(E164,ProductMaster!B:G,6,FALSE),0)</f>
        <v>0</v>
      </c>
      <c r="J164" s="123">
        <f t="shared" si="10"/>
        <v>0</v>
      </c>
      <c r="K164" s="123">
        <f t="shared" si="12"/>
        <v>0</v>
      </c>
      <c r="L164" s="91"/>
      <c r="M164" s="92"/>
      <c r="N164" s="92"/>
      <c r="O164" s="93">
        <v>0</v>
      </c>
      <c r="P164" s="86"/>
      <c r="Q164" s="82">
        <f t="shared" si="11"/>
        <v>159</v>
      </c>
    </row>
    <row r="165" spans="1:17" ht="20.25" customHeight="1">
      <c r="A165" s="85"/>
      <c r="B165" s="152"/>
      <c r="C165" s="86"/>
      <c r="D165" s="87"/>
      <c r="E165" s="88" t="str">
        <f>IFERROR(VLOOKUP(D165,ProductMaster!$A:$B,2,FALSE),"")</f>
        <v/>
      </c>
      <c r="F165" s="88" t="str">
        <f>IFERROR(VLOOKUP(D165,ProductMaster!$A:$C,3,FALSE),"")</f>
        <v/>
      </c>
      <c r="G165" s="89" t="str">
        <f>IFERROR(VLOOKUP($D165,ProductMaster!$A:$O,4,FALSE),"")</f>
        <v/>
      </c>
      <c r="H165" s="90"/>
      <c r="I165" s="123">
        <f>IFERROR(VLOOKUP(E165,ProductMaster!B:G,6,FALSE),0)</f>
        <v>0</v>
      </c>
      <c r="J165" s="123">
        <f t="shared" si="10"/>
        <v>0</v>
      </c>
      <c r="K165" s="123">
        <f t="shared" si="12"/>
        <v>0</v>
      </c>
      <c r="L165" s="91"/>
      <c r="M165" s="92"/>
      <c r="N165" s="92"/>
      <c r="O165" s="93">
        <v>0</v>
      </c>
      <c r="P165" s="86"/>
      <c r="Q165" s="82">
        <f t="shared" si="11"/>
        <v>160</v>
      </c>
    </row>
    <row r="166" spans="1:17" ht="20.25" customHeight="1">
      <c r="A166" s="85"/>
      <c r="B166" s="152"/>
      <c r="C166" s="86"/>
      <c r="D166" s="87"/>
      <c r="E166" s="88" t="str">
        <f>IFERROR(VLOOKUP(D166,ProductMaster!$A:$B,2,FALSE),"")</f>
        <v/>
      </c>
      <c r="F166" s="88" t="str">
        <f>IFERROR(VLOOKUP(D166,ProductMaster!$A:$C,3,FALSE),"")</f>
        <v/>
      </c>
      <c r="G166" s="89" t="str">
        <f>IFERROR(VLOOKUP($D166,ProductMaster!$A:$O,4,FALSE),"")</f>
        <v/>
      </c>
      <c r="H166" s="90"/>
      <c r="I166" s="123">
        <f>IFERROR(VLOOKUP(E166,ProductMaster!B:G,6,FALSE),0)</f>
        <v>0</v>
      </c>
      <c r="J166" s="123">
        <f t="shared" si="10"/>
        <v>0</v>
      </c>
      <c r="K166" s="123">
        <f t="shared" si="12"/>
        <v>0</v>
      </c>
      <c r="L166" s="91"/>
      <c r="M166" s="92"/>
      <c r="N166" s="92"/>
      <c r="O166" s="93">
        <v>0</v>
      </c>
      <c r="P166" s="86"/>
      <c r="Q166" s="82">
        <f t="shared" si="11"/>
        <v>161</v>
      </c>
    </row>
    <row r="167" spans="1:17" ht="20.25" customHeight="1">
      <c r="A167" s="85"/>
      <c r="B167" s="152"/>
      <c r="C167" s="86"/>
      <c r="D167" s="87"/>
      <c r="E167" s="88" t="str">
        <f>IFERROR(VLOOKUP(D167,ProductMaster!$A:$B,2,FALSE),"")</f>
        <v/>
      </c>
      <c r="F167" s="88" t="str">
        <f>IFERROR(VLOOKUP(D167,ProductMaster!$A:$C,3,FALSE),"")</f>
        <v/>
      </c>
      <c r="G167" s="89" t="str">
        <f>IFERROR(VLOOKUP($D167,ProductMaster!$A:$O,4,FALSE),"")</f>
        <v/>
      </c>
      <c r="H167" s="90"/>
      <c r="I167" s="123">
        <f>IFERROR(VLOOKUP(E167,ProductMaster!B:G,6,FALSE),0)</f>
        <v>0</v>
      </c>
      <c r="J167" s="123">
        <f t="shared" si="10"/>
        <v>0</v>
      </c>
      <c r="K167" s="123">
        <f t="shared" si="12"/>
        <v>0</v>
      </c>
      <c r="L167" s="91"/>
      <c r="M167" s="92"/>
      <c r="N167" s="92"/>
      <c r="O167" s="93">
        <v>0</v>
      </c>
      <c r="P167" s="86"/>
      <c r="Q167" s="82">
        <f t="shared" si="11"/>
        <v>162</v>
      </c>
    </row>
    <row r="168" spans="1:17" ht="20.25" customHeight="1">
      <c r="A168" s="85"/>
      <c r="B168" s="152"/>
      <c r="C168" s="86"/>
      <c r="D168" s="87"/>
      <c r="E168" s="88" t="str">
        <f>IFERROR(VLOOKUP(D168,ProductMaster!$A:$B,2,FALSE),"")</f>
        <v/>
      </c>
      <c r="F168" s="88" t="str">
        <f>IFERROR(VLOOKUP(D168,ProductMaster!$A:$C,3,FALSE),"")</f>
        <v/>
      </c>
      <c r="G168" s="89" t="str">
        <f>IFERROR(VLOOKUP($D168,ProductMaster!$A:$O,4,FALSE),"")</f>
        <v/>
      </c>
      <c r="H168" s="90"/>
      <c r="I168" s="123">
        <f>IFERROR(VLOOKUP(E168,ProductMaster!B:G,6,FALSE),0)</f>
        <v>0</v>
      </c>
      <c r="J168" s="123">
        <f t="shared" si="10"/>
        <v>0</v>
      </c>
      <c r="K168" s="123">
        <f t="shared" si="12"/>
        <v>0</v>
      </c>
      <c r="L168" s="91"/>
      <c r="M168" s="92"/>
      <c r="N168" s="92"/>
      <c r="O168" s="93">
        <v>0</v>
      </c>
      <c r="P168" s="86"/>
      <c r="Q168" s="82">
        <f t="shared" si="11"/>
        <v>163</v>
      </c>
    </row>
    <row r="169" spans="1:17" ht="20.25" customHeight="1">
      <c r="A169" s="85"/>
      <c r="B169" s="152"/>
      <c r="C169" s="86"/>
      <c r="D169" s="87"/>
      <c r="E169" s="88" t="str">
        <f>IFERROR(VLOOKUP(D169,ProductMaster!$A:$B,2,FALSE),"")</f>
        <v/>
      </c>
      <c r="F169" s="88" t="str">
        <f>IFERROR(VLOOKUP(D169,ProductMaster!$A:$C,3,FALSE),"")</f>
        <v/>
      </c>
      <c r="G169" s="89" t="str">
        <f>IFERROR(VLOOKUP($D169,ProductMaster!$A:$O,4,FALSE),"")</f>
        <v/>
      </c>
      <c r="H169" s="90"/>
      <c r="I169" s="123">
        <f>IFERROR(VLOOKUP(E169,ProductMaster!B:G,6,FALSE),0)</f>
        <v>0</v>
      </c>
      <c r="J169" s="123">
        <f t="shared" si="10"/>
        <v>0</v>
      </c>
      <c r="K169" s="123">
        <f t="shared" si="12"/>
        <v>0</v>
      </c>
      <c r="L169" s="91"/>
      <c r="M169" s="92"/>
      <c r="N169" s="92"/>
      <c r="O169" s="93">
        <v>0</v>
      </c>
      <c r="P169" s="86"/>
      <c r="Q169" s="82">
        <f t="shared" si="11"/>
        <v>164</v>
      </c>
    </row>
    <row r="170" spans="1:17" ht="20.25" customHeight="1">
      <c r="A170" s="85"/>
      <c r="B170" s="152"/>
      <c r="C170" s="86"/>
      <c r="D170" s="87"/>
      <c r="E170" s="88" t="str">
        <f>IFERROR(VLOOKUP(D170,ProductMaster!$A:$B,2,FALSE),"")</f>
        <v/>
      </c>
      <c r="F170" s="88" t="str">
        <f>IFERROR(VLOOKUP(D170,ProductMaster!$A:$C,3,FALSE),"")</f>
        <v/>
      </c>
      <c r="G170" s="89" t="str">
        <f>IFERROR(VLOOKUP($D170,ProductMaster!$A:$O,4,FALSE),"")</f>
        <v/>
      </c>
      <c r="H170" s="90"/>
      <c r="I170" s="123">
        <f>IFERROR(VLOOKUP(E170,ProductMaster!B:G,6,FALSE),0)</f>
        <v>0</v>
      </c>
      <c r="J170" s="123">
        <f t="shared" si="10"/>
        <v>0</v>
      </c>
      <c r="K170" s="123">
        <f t="shared" si="12"/>
        <v>0</v>
      </c>
      <c r="L170" s="91"/>
      <c r="M170" s="92"/>
      <c r="N170" s="92"/>
      <c r="O170" s="93">
        <v>0</v>
      </c>
      <c r="P170" s="86"/>
      <c r="Q170" s="82">
        <f t="shared" si="11"/>
        <v>165</v>
      </c>
    </row>
    <row r="171" spans="1:17" ht="20.25" customHeight="1">
      <c r="A171" s="85"/>
      <c r="B171" s="152"/>
      <c r="C171" s="86"/>
      <c r="D171" s="87"/>
      <c r="E171" s="88" t="str">
        <f>IFERROR(VLOOKUP(D171,ProductMaster!$A:$B,2,FALSE),"")</f>
        <v/>
      </c>
      <c r="F171" s="88" t="str">
        <f>IFERROR(VLOOKUP(D171,ProductMaster!$A:$C,3,FALSE),"")</f>
        <v/>
      </c>
      <c r="G171" s="89" t="str">
        <f>IFERROR(VLOOKUP($D171,ProductMaster!$A:$O,4,FALSE),"")</f>
        <v/>
      </c>
      <c r="H171" s="90"/>
      <c r="I171" s="123">
        <f>IFERROR(VLOOKUP(E171,ProductMaster!B:G,6,FALSE),0)</f>
        <v>0</v>
      </c>
      <c r="J171" s="123">
        <f t="shared" si="10"/>
        <v>0</v>
      </c>
      <c r="K171" s="123">
        <f t="shared" si="12"/>
        <v>0</v>
      </c>
      <c r="L171" s="91"/>
      <c r="M171" s="92"/>
      <c r="N171" s="92"/>
      <c r="O171" s="93">
        <v>0</v>
      </c>
      <c r="P171" s="86"/>
      <c r="Q171" s="82">
        <f t="shared" si="11"/>
        <v>166</v>
      </c>
    </row>
    <row r="172" spans="1:17" ht="20.25" customHeight="1">
      <c r="A172" s="85"/>
      <c r="B172" s="152"/>
      <c r="C172" s="86"/>
      <c r="D172" s="87"/>
      <c r="E172" s="88" t="str">
        <f>IFERROR(VLOOKUP(D172,ProductMaster!$A:$B,2,FALSE),"")</f>
        <v/>
      </c>
      <c r="F172" s="88" t="str">
        <f>IFERROR(VLOOKUP(D172,ProductMaster!$A:$C,3,FALSE),"")</f>
        <v/>
      </c>
      <c r="G172" s="89" t="str">
        <f>IFERROR(VLOOKUP($D172,ProductMaster!$A:$O,4,FALSE),"")</f>
        <v/>
      </c>
      <c r="H172" s="90"/>
      <c r="I172" s="123">
        <f>IFERROR(VLOOKUP(E172,ProductMaster!B:G,6,FALSE),0)</f>
        <v>0</v>
      </c>
      <c r="J172" s="123">
        <f t="shared" si="10"/>
        <v>0</v>
      </c>
      <c r="K172" s="123">
        <f t="shared" si="12"/>
        <v>0</v>
      </c>
      <c r="L172" s="91"/>
      <c r="M172" s="92"/>
      <c r="N172" s="92"/>
      <c r="O172" s="93">
        <v>0</v>
      </c>
      <c r="P172" s="86"/>
      <c r="Q172" s="82">
        <f t="shared" si="11"/>
        <v>167</v>
      </c>
    </row>
    <row r="173" spans="1:17" ht="20.25" customHeight="1">
      <c r="A173" s="85"/>
      <c r="B173" s="152"/>
      <c r="C173" s="86"/>
      <c r="D173" s="87"/>
      <c r="E173" s="88" t="str">
        <f>IFERROR(VLOOKUP(D173,ProductMaster!$A:$B,2,FALSE),"")</f>
        <v/>
      </c>
      <c r="F173" s="88" t="str">
        <f>IFERROR(VLOOKUP(D173,ProductMaster!$A:$C,3,FALSE),"")</f>
        <v/>
      </c>
      <c r="G173" s="89" t="str">
        <f>IFERROR(VLOOKUP($D173,ProductMaster!$A:$O,4,FALSE),"")</f>
        <v/>
      </c>
      <c r="H173" s="90"/>
      <c r="I173" s="123">
        <f>IFERROR(VLOOKUP(E173,ProductMaster!B:G,6,FALSE),0)</f>
        <v>0</v>
      </c>
      <c r="J173" s="123">
        <f t="shared" si="10"/>
        <v>0</v>
      </c>
      <c r="K173" s="123">
        <f t="shared" si="12"/>
        <v>0</v>
      </c>
      <c r="L173" s="91"/>
      <c r="M173" s="92"/>
      <c r="N173" s="92"/>
      <c r="O173" s="93">
        <v>0</v>
      </c>
      <c r="P173" s="86"/>
      <c r="Q173" s="82">
        <f t="shared" si="11"/>
        <v>168</v>
      </c>
    </row>
    <row r="174" spans="1:17" ht="20.25" customHeight="1">
      <c r="A174" s="85"/>
      <c r="B174" s="102"/>
      <c r="C174" s="86"/>
      <c r="D174" s="87"/>
      <c r="E174" s="88" t="str">
        <f>IFERROR(VLOOKUP(D174,ProductMaster!$A:$B,2,FALSE),"")</f>
        <v/>
      </c>
      <c r="F174" s="88" t="str">
        <f>IFERROR(VLOOKUP(D174,ProductMaster!$A:$C,3,FALSE),"")</f>
        <v/>
      </c>
      <c r="G174" s="89" t="str">
        <f>IFERROR(VLOOKUP($D174,ProductMaster!$A:$O,4,FALSE),"")</f>
        <v/>
      </c>
      <c r="H174" s="90"/>
      <c r="I174" s="123">
        <f>IFERROR(VLOOKUP(E174,ProductMaster!B:G,6,FALSE),0)</f>
        <v>0</v>
      </c>
      <c r="J174" s="123">
        <f t="shared" si="10"/>
        <v>0</v>
      </c>
      <c r="K174" s="123">
        <f t="shared" si="12"/>
        <v>0</v>
      </c>
      <c r="L174" s="91"/>
      <c r="M174" s="92"/>
      <c r="N174" s="92"/>
      <c r="O174" s="93">
        <v>0</v>
      </c>
      <c r="P174" s="86"/>
      <c r="Q174" s="82">
        <f t="shared" si="11"/>
        <v>169</v>
      </c>
    </row>
    <row r="175" spans="1:17" ht="20.25" customHeight="1">
      <c r="A175" s="85"/>
      <c r="B175" s="102"/>
      <c r="C175" s="86"/>
      <c r="D175" s="87"/>
      <c r="E175" s="88" t="str">
        <f>IFERROR(VLOOKUP(D175,ProductMaster!$A:$B,2,FALSE),"")</f>
        <v/>
      </c>
      <c r="F175" s="88" t="str">
        <f>IFERROR(VLOOKUP(D175,ProductMaster!$A:$C,3,FALSE),"")</f>
        <v/>
      </c>
      <c r="G175" s="89" t="str">
        <f>IFERROR(VLOOKUP($D175,ProductMaster!$A:$O,4,FALSE),"")</f>
        <v/>
      </c>
      <c r="H175" s="90"/>
      <c r="I175" s="123">
        <f>IFERROR(VLOOKUP(E175,ProductMaster!B:G,6,FALSE),0)</f>
        <v>0</v>
      </c>
      <c r="J175" s="123">
        <f t="shared" si="10"/>
        <v>0</v>
      </c>
      <c r="K175" s="123">
        <f t="shared" si="12"/>
        <v>0</v>
      </c>
      <c r="L175" s="91"/>
      <c r="M175" s="92"/>
      <c r="N175" s="92"/>
      <c r="O175" s="93">
        <v>0</v>
      </c>
      <c r="P175" s="86"/>
      <c r="Q175" s="82">
        <f t="shared" si="11"/>
        <v>170</v>
      </c>
    </row>
    <row r="176" spans="1:17" ht="20.25" customHeight="1">
      <c r="A176" s="85"/>
      <c r="B176" s="102"/>
      <c r="C176" s="86"/>
      <c r="D176" s="87"/>
      <c r="E176" s="88" t="str">
        <f>IFERROR(VLOOKUP(D176,ProductMaster!$A:$B,2,FALSE),"")</f>
        <v/>
      </c>
      <c r="F176" s="88" t="str">
        <f>IFERROR(VLOOKUP(D176,ProductMaster!$A:$C,3,FALSE),"")</f>
        <v/>
      </c>
      <c r="G176" s="89" t="str">
        <f>IFERROR(VLOOKUP($D176,ProductMaster!$A:$O,4,FALSE),"")</f>
        <v/>
      </c>
      <c r="H176" s="90"/>
      <c r="I176" s="123">
        <f>IFERROR(VLOOKUP(E176,ProductMaster!B:G,6,FALSE),0)</f>
        <v>0</v>
      </c>
      <c r="J176" s="123">
        <f t="shared" si="10"/>
        <v>0</v>
      </c>
      <c r="K176" s="123">
        <f t="shared" si="12"/>
        <v>0</v>
      </c>
      <c r="L176" s="91"/>
      <c r="M176" s="92"/>
      <c r="N176" s="92"/>
      <c r="O176" s="93">
        <v>0</v>
      </c>
      <c r="P176" s="86"/>
      <c r="Q176" s="82">
        <f t="shared" si="11"/>
        <v>171</v>
      </c>
    </row>
    <row r="177" spans="1:17" ht="20.25" customHeight="1">
      <c r="A177" s="85"/>
      <c r="B177" s="102"/>
      <c r="C177" s="86"/>
      <c r="D177" s="87"/>
      <c r="E177" s="88" t="str">
        <f>IFERROR(VLOOKUP(D177,ProductMaster!$A:$B,2,FALSE),"")</f>
        <v/>
      </c>
      <c r="F177" s="88" t="str">
        <f>IFERROR(VLOOKUP(D177,ProductMaster!$A:$C,3,FALSE),"")</f>
        <v/>
      </c>
      <c r="G177" s="89" t="str">
        <f>IFERROR(VLOOKUP($D177,ProductMaster!$A:$O,4,FALSE),"")</f>
        <v/>
      </c>
      <c r="H177" s="90"/>
      <c r="I177" s="123">
        <f>IFERROR(VLOOKUP(E177,ProductMaster!B:G,6,FALSE),0)</f>
        <v>0</v>
      </c>
      <c r="J177" s="123">
        <f t="shared" si="10"/>
        <v>0</v>
      </c>
      <c r="K177" s="123">
        <f t="shared" si="12"/>
        <v>0</v>
      </c>
      <c r="L177" s="91"/>
      <c r="M177" s="92"/>
      <c r="N177" s="92"/>
      <c r="O177" s="93">
        <v>0</v>
      </c>
      <c r="P177" s="86"/>
      <c r="Q177" s="82">
        <f t="shared" si="11"/>
        <v>172</v>
      </c>
    </row>
    <row r="178" spans="1:17" ht="20.25" customHeight="1">
      <c r="A178" s="85"/>
      <c r="B178" s="102"/>
      <c r="C178" s="86"/>
      <c r="D178" s="87"/>
      <c r="E178" s="88" t="str">
        <f>IFERROR(VLOOKUP(D178,ProductMaster!$A:$B,2,FALSE),"")</f>
        <v/>
      </c>
      <c r="F178" s="88" t="str">
        <f>IFERROR(VLOOKUP(D178,ProductMaster!$A:$C,3,FALSE),"")</f>
        <v/>
      </c>
      <c r="G178" s="89" t="str">
        <f>IFERROR(VLOOKUP($D178,ProductMaster!$A:$O,4,FALSE),"")</f>
        <v/>
      </c>
      <c r="H178" s="90"/>
      <c r="I178" s="123">
        <f>IFERROR(VLOOKUP(E178,ProductMaster!B:G,6,FALSE),0)</f>
        <v>0</v>
      </c>
      <c r="J178" s="123">
        <f t="shared" si="10"/>
        <v>0</v>
      </c>
      <c r="K178" s="123">
        <f t="shared" si="12"/>
        <v>0</v>
      </c>
      <c r="L178" s="91"/>
      <c r="M178" s="92"/>
      <c r="N178" s="92"/>
      <c r="O178" s="93">
        <v>0</v>
      </c>
      <c r="P178" s="86"/>
      <c r="Q178" s="82">
        <f t="shared" si="11"/>
        <v>173</v>
      </c>
    </row>
    <row r="179" spans="1:17" ht="20.25" customHeight="1">
      <c r="A179" s="85"/>
      <c r="B179" s="102"/>
      <c r="C179" s="86"/>
      <c r="D179" s="87"/>
      <c r="E179" s="88" t="str">
        <f>IFERROR(VLOOKUP(D179,ProductMaster!$A:$B,2,FALSE),"")</f>
        <v/>
      </c>
      <c r="F179" s="88" t="str">
        <f>IFERROR(VLOOKUP(D179,ProductMaster!$A:$C,3,FALSE),"")</f>
        <v/>
      </c>
      <c r="G179" s="89" t="str">
        <f>IFERROR(VLOOKUP($D179,ProductMaster!$A:$O,4,FALSE),"")</f>
        <v/>
      </c>
      <c r="H179" s="90"/>
      <c r="I179" s="123">
        <f>IFERROR(VLOOKUP(E179,ProductMaster!B:G,6,FALSE),0)</f>
        <v>0</v>
      </c>
      <c r="J179" s="123">
        <f t="shared" si="10"/>
        <v>0</v>
      </c>
      <c r="K179" s="123">
        <f t="shared" si="12"/>
        <v>0</v>
      </c>
      <c r="L179" s="91"/>
      <c r="M179" s="92"/>
      <c r="N179" s="92"/>
      <c r="O179" s="93">
        <v>0</v>
      </c>
      <c r="P179" s="86"/>
      <c r="Q179" s="82">
        <f t="shared" si="11"/>
        <v>174</v>
      </c>
    </row>
    <row r="180" spans="1:17" ht="20.25" customHeight="1">
      <c r="A180" s="85"/>
      <c r="B180" s="102"/>
      <c r="C180" s="86"/>
      <c r="D180" s="87"/>
      <c r="E180" s="88" t="str">
        <f>IFERROR(VLOOKUP(D180,ProductMaster!$A:$B,2,FALSE),"")</f>
        <v/>
      </c>
      <c r="F180" s="88" t="str">
        <f>IFERROR(VLOOKUP(D180,ProductMaster!$A:$C,3,FALSE),"")</f>
        <v/>
      </c>
      <c r="G180" s="89" t="str">
        <f>IFERROR(VLOOKUP($D180,ProductMaster!$A:$O,4,FALSE),"")</f>
        <v/>
      </c>
      <c r="H180" s="90"/>
      <c r="I180" s="123">
        <f>IFERROR(VLOOKUP(E180,ProductMaster!B:G,6,FALSE),0)</f>
        <v>0</v>
      </c>
      <c r="J180" s="123">
        <f t="shared" si="10"/>
        <v>0</v>
      </c>
      <c r="K180" s="123">
        <f t="shared" si="12"/>
        <v>0</v>
      </c>
      <c r="L180" s="91"/>
      <c r="M180" s="92"/>
      <c r="N180" s="92"/>
      <c r="O180" s="93">
        <v>0</v>
      </c>
      <c r="P180" s="86"/>
      <c r="Q180" s="82">
        <f t="shared" si="11"/>
        <v>175</v>
      </c>
    </row>
    <row r="181" spans="1:17" ht="20.25" customHeight="1">
      <c r="A181" s="85"/>
      <c r="B181" s="102"/>
      <c r="C181" s="86"/>
      <c r="D181" s="87"/>
      <c r="E181" s="88" t="str">
        <f>IFERROR(VLOOKUP(D181,ProductMaster!$A:$B,2,FALSE),"")</f>
        <v/>
      </c>
      <c r="F181" s="88" t="str">
        <f>IFERROR(VLOOKUP(D181,ProductMaster!$A:$C,3,FALSE),"")</f>
        <v/>
      </c>
      <c r="G181" s="89" t="str">
        <f>IFERROR(VLOOKUP($D181,ProductMaster!$A:$O,4,FALSE),"")</f>
        <v/>
      </c>
      <c r="H181" s="90"/>
      <c r="I181" s="123">
        <f>IFERROR(VLOOKUP(E181,ProductMaster!B:G,6,FALSE),0)</f>
        <v>0</v>
      </c>
      <c r="J181" s="123">
        <f t="shared" si="10"/>
        <v>0</v>
      </c>
      <c r="K181" s="123">
        <f t="shared" si="12"/>
        <v>0</v>
      </c>
      <c r="L181" s="91"/>
      <c r="M181" s="92"/>
      <c r="N181" s="92"/>
      <c r="O181" s="93">
        <v>0</v>
      </c>
      <c r="P181" s="86"/>
      <c r="Q181" s="82">
        <f t="shared" si="11"/>
        <v>176</v>
      </c>
    </row>
    <row r="182" spans="1:17" ht="20.25" customHeight="1">
      <c r="A182" s="85"/>
      <c r="B182" s="102"/>
      <c r="C182" s="86"/>
      <c r="D182" s="87"/>
      <c r="E182" s="88" t="str">
        <f>IFERROR(VLOOKUP(D182,ProductMaster!$A:$B,2,FALSE),"")</f>
        <v/>
      </c>
      <c r="F182" s="88" t="str">
        <f>IFERROR(VLOOKUP(D182,ProductMaster!$A:$C,3,FALSE),"")</f>
        <v/>
      </c>
      <c r="G182" s="89" t="str">
        <f>IFERROR(VLOOKUP($D182,ProductMaster!$A:$O,4,FALSE),"")</f>
        <v/>
      </c>
      <c r="H182" s="90"/>
      <c r="I182" s="123">
        <f>IFERROR(VLOOKUP(E182,ProductMaster!B:G,6,FALSE),0)</f>
        <v>0</v>
      </c>
      <c r="J182" s="123">
        <f t="shared" si="10"/>
        <v>0</v>
      </c>
      <c r="K182" s="123">
        <f t="shared" si="12"/>
        <v>0</v>
      </c>
      <c r="L182" s="91"/>
      <c r="M182" s="92"/>
      <c r="N182" s="92"/>
      <c r="O182" s="93">
        <v>0</v>
      </c>
      <c r="P182" s="86"/>
      <c r="Q182" s="82">
        <f t="shared" si="11"/>
        <v>177</v>
      </c>
    </row>
    <row r="183" spans="1:17" ht="20.25" customHeight="1">
      <c r="A183" s="85"/>
      <c r="B183" s="102"/>
      <c r="C183" s="86"/>
      <c r="D183" s="87"/>
      <c r="E183" s="88" t="str">
        <f>IFERROR(VLOOKUP(D183,ProductMaster!$A:$B,2,FALSE),"")</f>
        <v/>
      </c>
      <c r="F183" s="88" t="str">
        <f>IFERROR(VLOOKUP(D183,ProductMaster!$A:$C,3,FALSE),"")</f>
        <v/>
      </c>
      <c r="G183" s="89" t="str">
        <f>IFERROR(VLOOKUP($D183,ProductMaster!$A:$O,4,FALSE),"")</f>
        <v/>
      </c>
      <c r="H183" s="90"/>
      <c r="I183" s="123">
        <f>IFERROR(VLOOKUP(E183,ProductMaster!B:G,6,FALSE),0)</f>
        <v>0</v>
      </c>
      <c r="J183" s="123">
        <f t="shared" si="10"/>
        <v>0</v>
      </c>
      <c r="K183" s="123">
        <f t="shared" si="12"/>
        <v>0</v>
      </c>
      <c r="L183" s="91"/>
      <c r="M183" s="92"/>
      <c r="N183" s="92"/>
      <c r="O183" s="93">
        <v>0</v>
      </c>
      <c r="P183" s="86"/>
      <c r="Q183" s="82">
        <f t="shared" si="11"/>
        <v>178</v>
      </c>
    </row>
    <row r="184" spans="1:17" ht="20.25" customHeight="1">
      <c r="A184" s="85"/>
      <c r="B184" s="102"/>
      <c r="C184" s="86"/>
      <c r="D184" s="87"/>
      <c r="E184" s="88" t="str">
        <f>IFERROR(VLOOKUP(D184,ProductMaster!$A:$B,2,FALSE),"")</f>
        <v/>
      </c>
      <c r="F184" s="88" t="str">
        <f>IFERROR(VLOOKUP(D184,ProductMaster!$A:$C,3,FALSE),"")</f>
        <v/>
      </c>
      <c r="G184" s="89" t="str">
        <f>IFERROR(VLOOKUP($D184,ProductMaster!$A:$O,4,FALSE),"")</f>
        <v/>
      </c>
      <c r="H184" s="90"/>
      <c r="I184" s="123">
        <f>IFERROR(VLOOKUP(E184,ProductMaster!B:G,6,FALSE),0)</f>
        <v>0</v>
      </c>
      <c r="J184" s="123">
        <f t="shared" si="10"/>
        <v>0</v>
      </c>
      <c r="K184" s="123">
        <f t="shared" si="12"/>
        <v>0</v>
      </c>
      <c r="L184" s="91"/>
      <c r="M184" s="92"/>
      <c r="N184" s="92"/>
      <c r="O184" s="93">
        <v>0</v>
      </c>
      <c r="P184" s="86"/>
      <c r="Q184" s="82">
        <f t="shared" si="11"/>
        <v>179</v>
      </c>
    </row>
    <row r="185" spans="1:17" ht="20.25" customHeight="1">
      <c r="A185" s="85"/>
      <c r="B185" s="102"/>
      <c r="C185" s="86"/>
      <c r="D185" s="87"/>
      <c r="E185" s="88" t="str">
        <f>IFERROR(VLOOKUP(D185,ProductMaster!$A:$B,2,FALSE),"")</f>
        <v/>
      </c>
      <c r="F185" s="88" t="str">
        <f>IFERROR(VLOOKUP(D185,ProductMaster!$A:$C,3,FALSE),"")</f>
        <v/>
      </c>
      <c r="G185" s="89" t="str">
        <f>IFERROR(VLOOKUP($D185,ProductMaster!$A:$O,4,FALSE),"")</f>
        <v/>
      </c>
      <c r="H185" s="90"/>
      <c r="I185" s="123">
        <f>IFERROR(VLOOKUP(E185,ProductMaster!B:G,6,FALSE),0)</f>
        <v>0</v>
      </c>
      <c r="J185" s="123">
        <f t="shared" si="10"/>
        <v>0</v>
      </c>
      <c r="K185" s="123">
        <f t="shared" si="12"/>
        <v>0</v>
      </c>
      <c r="L185" s="91"/>
      <c r="M185" s="92"/>
      <c r="N185" s="92"/>
      <c r="O185" s="93">
        <v>0</v>
      </c>
      <c r="P185" s="86"/>
      <c r="Q185" s="82">
        <f t="shared" si="11"/>
        <v>180</v>
      </c>
    </row>
    <row r="186" spans="1:17" ht="20.25" customHeight="1">
      <c r="A186" s="85"/>
      <c r="B186" s="102"/>
      <c r="C186" s="86"/>
      <c r="D186" s="87"/>
      <c r="E186" s="88" t="str">
        <f>IFERROR(VLOOKUP(D186,ProductMaster!$A:$B,2,FALSE),"")</f>
        <v/>
      </c>
      <c r="F186" s="88" t="str">
        <f>IFERROR(VLOOKUP(D186,ProductMaster!$A:$C,3,FALSE),"")</f>
        <v/>
      </c>
      <c r="G186" s="89" t="str">
        <f>IFERROR(VLOOKUP($D186,ProductMaster!$A:$O,4,FALSE),"")</f>
        <v/>
      </c>
      <c r="H186" s="90"/>
      <c r="I186" s="123">
        <f>IFERROR(VLOOKUP(E186,ProductMaster!B:G,6,FALSE),0)</f>
        <v>0</v>
      </c>
      <c r="J186" s="123">
        <f t="shared" si="10"/>
        <v>0</v>
      </c>
      <c r="K186" s="123">
        <f t="shared" si="12"/>
        <v>0</v>
      </c>
      <c r="L186" s="91"/>
      <c r="M186" s="92"/>
      <c r="N186" s="92"/>
      <c r="O186" s="93">
        <v>0</v>
      </c>
      <c r="P186" s="86"/>
      <c r="Q186" s="82">
        <f t="shared" si="11"/>
        <v>181</v>
      </c>
    </row>
    <row r="187" spans="1:17" ht="20.25" customHeight="1">
      <c r="A187" s="85"/>
      <c r="B187" s="102"/>
      <c r="C187" s="86"/>
      <c r="D187" s="87"/>
      <c r="E187" s="88" t="str">
        <f>IFERROR(VLOOKUP(D187,ProductMaster!$A:$B,2,FALSE),"")</f>
        <v/>
      </c>
      <c r="F187" s="88" t="str">
        <f>IFERROR(VLOOKUP(D187,ProductMaster!$A:$C,3,FALSE),"")</f>
        <v/>
      </c>
      <c r="G187" s="89" t="str">
        <f>IFERROR(VLOOKUP($D187,ProductMaster!$A:$O,4,FALSE),"")</f>
        <v/>
      </c>
      <c r="H187" s="90"/>
      <c r="I187" s="123">
        <f>IFERROR(VLOOKUP(E187,ProductMaster!B:G,6,FALSE),0)</f>
        <v>0</v>
      </c>
      <c r="J187" s="123">
        <f t="shared" si="10"/>
        <v>0</v>
      </c>
      <c r="K187" s="123">
        <f t="shared" si="12"/>
        <v>0</v>
      </c>
      <c r="L187" s="91"/>
      <c r="M187" s="92"/>
      <c r="N187" s="92"/>
      <c r="O187" s="93">
        <v>0</v>
      </c>
      <c r="P187" s="86"/>
      <c r="Q187" s="82">
        <f t="shared" si="11"/>
        <v>182</v>
      </c>
    </row>
    <row r="188" spans="1:17" ht="20.25" customHeight="1">
      <c r="A188" s="85"/>
      <c r="B188" s="102"/>
      <c r="C188" s="86"/>
      <c r="D188" s="87"/>
      <c r="E188" s="88" t="str">
        <f>IFERROR(VLOOKUP(D188,ProductMaster!$A:$B,2,FALSE),"")</f>
        <v/>
      </c>
      <c r="F188" s="88" t="str">
        <f>IFERROR(VLOOKUP(D188,ProductMaster!$A:$C,3,FALSE),"")</f>
        <v/>
      </c>
      <c r="G188" s="89" t="str">
        <f>IFERROR(VLOOKUP($D188,ProductMaster!$A:$O,4,FALSE),"")</f>
        <v/>
      </c>
      <c r="H188" s="90"/>
      <c r="I188" s="123">
        <f>IFERROR(VLOOKUP(E188,ProductMaster!B:G,6,FALSE),0)</f>
        <v>0</v>
      </c>
      <c r="J188" s="123">
        <f t="shared" si="10"/>
        <v>0</v>
      </c>
      <c r="K188" s="123">
        <f t="shared" si="12"/>
        <v>0</v>
      </c>
      <c r="L188" s="91"/>
      <c r="M188" s="92"/>
      <c r="N188" s="92"/>
      <c r="O188" s="93">
        <v>0</v>
      </c>
      <c r="P188" s="86"/>
      <c r="Q188" s="82">
        <f t="shared" si="11"/>
        <v>183</v>
      </c>
    </row>
    <row r="189" spans="1:17" ht="20.25" customHeight="1">
      <c r="A189" s="85"/>
      <c r="B189" s="102"/>
      <c r="C189" s="86"/>
      <c r="D189" s="87"/>
      <c r="E189" s="88" t="str">
        <f>IFERROR(VLOOKUP(D189,ProductMaster!$A:$B,2,FALSE),"")</f>
        <v/>
      </c>
      <c r="F189" s="88" t="str">
        <f>IFERROR(VLOOKUP(D189,ProductMaster!$A:$C,3,FALSE),"")</f>
        <v/>
      </c>
      <c r="G189" s="89" t="str">
        <f>IFERROR(VLOOKUP($D189,ProductMaster!$A:$O,4,FALSE),"")</f>
        <v/>
      </c>
      <c r="H189" s="90"/>
      <c r="I189" s="123">
        <f>IFERROR(VLOOKUP(E189,ProductMaster!B:G,6,FALSE),0)</f>
        <v>0</v>
      </c>
      <c r="J189" s="123">
        <f t="shared" si="10"/>
        <v>0</v>
      </c>
      <c r="K189" s="123">
        <f t="shared" si="12"/>
        <v>0</v>
      </c>
      <c r="L189" s="91"/>
      <c r="M189" s="92"/>
      <c r="N189" s="92"/>
      <c r="O189" s="93">
        <v>0</v>
      </c>
      <c r="P189" s="86"/>
      <c r="Q189" s="82">
        <f t="shared" si="11"/>
        <v>184</v>
      </c>
    </row>
    <row r="190" spans="1:17" ht="20.25" customHeight="1">
      <c r="A190" s="85"/>
      <c r="B190" s="102"/>
      <c r="C190" s="86"/>
      <c r="D190" s="87"/>
      <c r="E190" s="88" t="str">
        <f>IFERROR(VLOOKUP(D190,ProductMaster!$A:$B,2,FALSE),"")</f>
        <v/>
      </c>
      <c r="F190" s="88" t="str">
        <f>IFERROR(VLOOKUP(D190,ProductMaster!$A:$C,3,FALSE),"")</f>
        <v/>
      </c>
      <c r="G190" s="89" t="str">
        <f>IFERROR(VLOOKUP($D190,ProductMaster!$A:$O,4,FALSE),"")</f>
        <v/>
      </c>
      <c r="H190" s="90"/>
      <c r="I190" s="123">
        <f>IFERROR(VLOOKUP(E190,ProductMaster!B:G,6,FALSE),0)</f>
        <v>0</v>
      </c>
      <c r="J190" s="123">
        <f t="shared" si="10"/>
        <v>0</v>
      </c>
      <c r="K190" s="123">
        <f t="shared" si="12"/>
        <v>0</v>
      </c>
      <c r="L190" s="91"/>
      <c r="M190" s="92"/>
      <c r="N190" s="92"/>
      <c r="O190" s="93">
        <v>0</v>
      </c>
      <c r="P190" s="86"/>
      <c r="Q190" s="82">
        <f t="shared" si="11"/>
        <v>185</v>
      </c>
    </row>
    <row r="191" spans="1:17" ht="20.25" customHeight="1">
      <c r="A191" s="85"/>
      <c r="B191" s="102"/>
      <c r="C191" s="86"/>
      <c r="D191" s="87"/>
      <c r="E191" s="88" t="str">
        <f>IFERROR(VLOOKUP(D191,ProductMaster!$A:$B,2,FALSE),"")</f>
        <v/>
      </c>
      <c r="F191" s="88" t="str">
        <f>IFERROR(VLOOKUP(D191,ProductMaster!$A:$C,3,FALSE),"")</f>
        <v/>
      </c>
      <c r="G191" s="89" t="str">
        <f>IFERROR(VLOOKUP($D191,ProductMaster!$A:$O,4,FALSE),"")</f>
        <v/>
      </c>
      <c r="H191" s="90"/>
      <c r="I191" s="123">
        <f>IFERROR(VLOOKUP(E191,ProductMaster!B:G,6,FALSE),0)</f>
        <v>0</v>
      </c>
      <c r="J191" s="123">
        <f t="shared" si="10"/>
        <v>0</v>
      </c>
      <c r="K191" s="123">
        <f t="shared" si="12"/>
        <v>0</v>
      </c>
      <c r="L191" s="91"/>
      <c r="M191" s="92"/>
      <c r="N191" s="92"/>
      <c r="O191" s="93">
        <v>0</v>
      </c>
      <c r="P191" s="86"/>
      <c r="Q191" s="82">
        <f t="shared" si="11"/>
        <v>186</v>
      </c>
    </row>
    <row r="192" spans="1:17" ht="20.25" customHeight="1">
      <c r="A192" s="85"/>
      <c r="B192" s="102"/>
      <c r="C192" s="86"/>
      <c r="D192" s="87"/>
      <c r="E192" s="88" t="str">
        <f>IFERROR(VLOOKUP(D192,ProductMaster!$A:$B,2,FALSE),"")</f>
        <v/>
      </c>
      <c r="F192" s="88" t="str">
        <f>IFERROR(VLOOKUP(D192,ProductMaster!$A:$C,3,FALSE),"")</f>
        <v/>
      </c>
      <c r="G192" s="89" t="str">
        <f>IFERROR(VLOOKUP($D192,ProductMaster!$A:$O,4,FALSE),"")</f>
        <v/>
      </c>
      <c r="H192" s="90"/>
      <c r="I192" s="123">
        <f>IFERROR(VLOOKUP(E192,ProductMaster!B:G,6,FALSE),0)</f>
        <v>0</v>
      </c>
      <c r="J192" s="123">
        <f t="shared" si="10"/>
        <v>0</v>
      </c>
      <c r="K192" s="123">
        <f t="shared" si="12"/>
        <v>0</v>
      </c>
      <c r="L192" s="91"/>
      <c r="M192" s="92"/>
      <c r="N192" s="92"/>
      <c r="O192" s="93">
        <v>0</v>
      </c>
      <c r="P192" s="86"/>
      <c r="Q192" s="82">
        <f t="shared" si="11"/>
        <v>187</v>
      </c>
    </row>
    <row r="193" spans="1:17" ht="20.25" customHeight="1">
      <c r="A193" s="85"/>
      <c r="B193" s="102"/>
      <c r="C193" s="86"/>
      <c r="D193" s="87"/>
      <c r="E193" s="88" t="str">
        <f>IFERROR(VLOOKUP(D193,ProductMaster!$A:$B,2,FALSE),"")</f>
        <v/>
      </c>
      <c r="F193" s="88" t="str">
        <f>IFERROR(VLOOKUP(D193,ProductMaster!$A:$C,3,FALSE),"")</f>
        <v/>
      </c>
      <c r="G193" s="89" t="str">
        <f>IFERROR(VLOOKUP($D193,ProductMaster!$A:$O,4,FALSE),"")</f>
        <v/>
      </c>
      <c r="H193" s="90"/>
      <c r="I193" s="123">
        <f>IFERROR(VLOOKUP(E193,ProductMaster!B:G,6,FALSE),0)</f>
        <v>0</v>
      </c>
      <c r="J193" s="123">
        <f t="shared" si="10"/>
        <v>0</v>
      </c>
      <c r="K193" s="123">
        <f t="shared" si="12"/>
        <v>0</v>
      </c>
      <c r="L193" s="91"/>
      <c r="M193" s="92"/>
      <c r="N193" s="92"/>
      <c r="O193" s="93">
        <v>0</v>
      </c>
      <c r="P193" s="86"/>
      <c r="Q193" s="82">
        <f t="shared" si="11"/>
        <v>188</v>
      </c>
    </row>
    <row r="194" spans="1:17" ht="20.25" customHeight="1">
      <c r="A194" s="85"/>
      <c r="B194" s="102"/>
      <c r="C194" s="86"/>
      <c r="D194" s="87"/>
      <c r="E194" s="88" t="str">
        <f>IFERROR(VLOOKUP(D194,ProductMaster!$A:$B,2,FALSE),"")</f>
        <v/>
      </c>
      <c r="F194" s="88" t="str">
        <f>IFERROR(VLOOKUP(D194,ProductMaster!$A:$C,3,FALSE),"")</f>
        <v/>
      </c>
      <c r="G194" s="89" t="str">
        <f>IFERROR(VLOOKUP($D194,ProductMaster!$A:$O,4,FALSE),"")</f>
        <v/>
      </c>
      <c r="H194" s="90"/>
      <c r="I194" s="123">
        <f>IFERROR(VLOOKUP(E194,ProductMaster!B:G,6,FALSE),0)</f>
        <v>0</v>
      </c>
      <c r="J194" s="123">
        <f t="shared" si="10"/>
        <v>0</v>
      </c>
      <c r="K194" s="123">
        <f t="shared" si="12"/>
        <v>0</v>
      </c>
      <c r="L194" s="91"/>
      <c r="M194" s="92"/>
      <c r="N194" s="92"/>
      <c r="O194" s="93">
        <v>0</v>
      </c>
      <c r="P194" s="86"/>
      <c r="Q194" s="82">
        <f t="shared" si="11"/>
        <v>189</v>
      </c>
    </row>
    <row r="195" spans="1:17" ht="20.25" customHeight="1">
      <c r="A195" s="85"/>
      <c r="B195" s="102"/>
      <c r="C195" s="86"/>
      <c r="D195" s="87"/>
      <c r="E195" s="88" t="str">
        <f>IFERROR(VLOOKUP(D195,ProductMaster!$A:$B,2,FALSE),"")</f>
        <v/>
      </c>
      <c r="F195" s="88" t="str">
        <f>IFERROR(VLOOKUP(D195,ProductMaster!$A:$C,3,FALSE),"")</f>
        <v/>
      </c>
      <c r="G195" s="89" t="str">
        <f>IFERROR(VLOOKUP($D195,ProductMaster!$A:$O,4,FALSE),"")</f>
        <v/>
      </c>
      <c r="H195" s="90"/>
      <c r="I195" s="123">
        <f>IFERROR(VLOOKUP(E195,ProductMaster!B:G,6,FALSE),0)</f>
        <v>0</v>
      </c>
      <c r="J195" s="123">
        <f t="shared" ref="J195:J258" si="13">ROUND(SUM(I195*7%),2)</f>
        <v>0</v>
      </c>
      <c r="K195" s="123">
        <f t="shared" si="12"/>
        <v>0</v>
      </c>
      <c r="L195" s="91"/>
      <c r="M195" s="92"/>
      <c r="N195" s="92"/>
      <c r="O195" s="93">
        <v>0</v>
      </c>
      <c r="P195" s="86"/>
      <c r="Q195" s="82">
        <f t="shared" ref="Q195:Q258" si="14">IF(B195=B194,Q194+1,1)</f>
        <v>190</v>
      </c>
    </row>
    <row r="196" spans="1:17" ht="20.25" customHeight="1">
      <c r="A196" s="85"/>
      <c r="B196" s="102"/>
      <c r="C196" s="86"/>
      <c r="D196" s="87"/>
      <c r="E196" s="88" t="str">
        <f>IFERROR(VLOOKUP(D196,ProductMaster!$A:$B,2,FALSE),"")</f>
        <v/>
      </c>
      <c r="F196" s="88" t="str">
        <f>IFERROR(VLOOKUP(D196,ProductMaster!$A:$C,3,FALSE),"")</f>
        <v/>
      </c>
      <c r="G196" s="89" t="str">
        <f>IFERROR(VLOOKUP($D196,ProductMaster!$A:$O,4,FALSE),"")</f>
        <v/>
      </c>
      <c r="H196" s="90"/>
      <c r="I196" s="123">
        <f>IFERROR(VLOOKUP(E196,ProductMaster!B:G,6,FALSE),0)</f>
        <v>0</v>
      </c>
      <c r="J196" s="123">
        <f t="shared" si="13"/>
        <v>0</v>
      </c>
      <c r="K196" s="123">
        <f t="shared" si="12"/>
        <v>0</v>
      </c>
      <c r="L196" s="91"/>
      <c r="M196" s="92"/>
      <c r="N196" s="92"/>
      <c r="O196" s="93">
        <v>0</v>
      </c>
      <c r="P196" s="86"/>
      <c r="Q196" s="82">
        <f t="shared" si="14"/>
        <v>191</v>
      </c>
    </row>
    <row r="197" spans="1:17" ht="20.25" customHeight="1">
      <c r="A197" s="85"/>
      <c r="B197" s="102"/>
      <c r="C197" s="86"/>
      <c r="D197" s="87"/>
      <c r="E197" s="88" t="str">
        <f>IFERROR(VLOOKUP(D197,ProductMaster!$A:$B,2,FALSE),"")</f>
        <v/>
      </c>
      <c r="F197" s="88" t="str">
        <f>IFERROR(VLOOKUP(D197,ProductMaster!$A:$C,3,FALSE),"")</f>
        <v/>
      </c>
      <c r="G197" s="89" t="str">
        <f>IFERROR(VLOOKUP($D197,ProductMaster!$A:$O,4,FALSE),"")</f>
        <v/>
      </c>
      <c r="H197" s="90"/>
      <c r="I197" s="123">
        <f>IFERROR(VLOOKUP(E197,ProductMaster!B:G,6,FALSE),0)</f>
        <v>0</v>
      </c>
      <c r="J197" s="123">
        <f t="shared" si="13"/>
        <v>0</v>
      </c>
      <c r="K197" s="123">
        <f t="shared" si="12"/>
        <v>0</v>
      </c>
      <c r="L197" s="91"/>
      <c r="M197" s="92"/>
      <c r="N197" s="92"/>
      <c r="O197" s="93">
        <v>0</v>
      </c>
      <c r="P197" s="86"/>
      <c r="Q197" s="82">
        <f t="shared" si="14"/>
        <v>192</v>
      </c>
    </row>
    <row r="198" spans="1:17" ht="20.25" customHeight="1">
      <c r="A198" s="85"/>
      <c r="B198" s="102"/>
      <c r="C198" s="86"/>
      <c r="D198" s="87"/>
      <c r="E198" s="88" t="str">
        <f>IFERROR(VLOOKUP(D198,ProductMaster!$A:$B,2,FALSE),"")</f>
        <v/>
      </c>
      <c r="F198" s="88" t="str">
        <f>IFERROR(VLOOKUP(D198,ProductMaster!$A:$C,3,FALSE),"")</f>
        <v/>
      </c>
      <c r="G198" s="89" t="str">
        <f>IFERROR(VLOOKUP($D198,ProductMaster!$A:$O,4,FALSE),"")</f>
        <v/>
      </c>
      <c r="H198" s="90"/>
      <c r="I198" s="123">
        <f>IFERROR(VLOOKUP(E198,ProductMaster!B:G,6,FALSE),0)</f>
        <v>0</v>
      </c>
      <c r="J198" s="123">
        <f t="shared" si="13"/>
        <v>0</v>
      </c>
      <c r="K198" s="123">
        <f t="shared" si="12"/>
        <v>0</v>
      </c>
      <c r="L198" s="91"/>
      <c r="M198" s="92"/>
      <c r="N198" s="92"/>
      <c r="O198" s="93">
        <v>0</v>
      </c>
      <c r="P198" s="86"/>
      <c r="Q198" s="82">
        <f t="shared" si="14"/>
        <v>193</v>
      </c>
    </row>
    <row r="199" spans="1:17" ht="20.25" customHeight="1">
      <c r="A199" s="85"/>
      <c r="B199" s="102"/>
      <c r="C199" s="86"/>
      <c r="D199" s="87"/>
      <c r="E199" s="88" t="str">
        <f>IFERROR(VLOOKUP(D199,ProductMaster!$A:$B,2,FALSE),"")</f>
        <v/>
      </c>
      <c r="F199" s="88" t="str">
        <f>IFERROR(VLOOKUP(D199,ProductMaster!$A:$C,3,FALSE),"")</f>
        <v/>
      </c>
      <c r="G199" s="89" t="str">
        <f>IFERROR(VLOOKUP($D199,ProductMaster!$A:$O,4,FALSE),"")</f>
        <v/>
      </c>
      <c r="H199" s="90"/>
      <c r="I199" s="123">
        <f>IFERROR(VLOOKUP(E199,ProductMaster!B:G,6,FALSE),0)</f>
        <v>0</v>
      </c>
      <c r="J199" s="123">
        <f t="shared" si="13"/>
        <v>0</v>
      </c>
      <c r="K199" s="123">
        <f t="shared" si="12"/>
        <v>0</v>
      </c>
      <c r="L199" s="91"/>
      <c r="M199" s="92"/>
      <c r="N199" s="92"/>
      <c r="O199" s="93">
        <v>0</v>
      </c>
      <c r="P199" s="86"/>
      <c r="Q199" s="82">
        <f t="shared" si="14"/>
        <v>194</v>
      </c>
    </row>
    <row r="200" spans="1:17" ht="20.25" customHeight="1">
      <c r="A200" s="85"/>
      <c r="B200" s="102"/>
      <c r="C200" s="86"/>
      <c r="D200" s="87"/>
      <c r="E200" s="88" t="str">
        <f>IFERROR(VLOOKUP(D200,ProductMaster!$A:$B,2,FALSE),"")</f>
        <v/>
      </c>
      <c r="F200" s="88" t="str">
        <f>IFERROR(VLOOKUP(D200,ProductMaster!$A:$C,3,FALSE),"")</f>
        <v/>
      </c>
      <c r="G200" s="89" t="str">
        <f>IFERROR(VLOOKUP($D200,ProductMaster!$A:$O,4,FALSE),"")</f>
        <v/>
      </c>
      <c r="H200" s="90"/>
      <c r="I200" s="123">
        <f>IFERROR(VLOOKUP(E200,ProductMaster!B:G,6,FALSE),0)</f>
        <v>0</v>
      </c>
      <c r="J200" s="123">
        <f t="shared" si="13"/>
        <v>0</v>
      </c>
      <c r="K200" s="123">
        <f t="shared" si="12"/>
        <v>0</v>
      </c>
      <c r="L200" s="91"/>
      <c r="M200" s="92"/>
      <c r="N200" s="92"/>
      <c r="O200" s="93">
        <v>0</v>
      </c>
      <c r="P200" s="86"/>
      <c r="Q200" s="82">
        <f t="shared" si="14"/>
        <v>195</v>
      </c>
    </row>
    <row r="201" spans="1:17" ht="20.25" customHeight="1">
      <c r="A201" s="85"/>
      <c r="B201" s="102"/>
      <c r="C201" s="86"/>
      <c r="D201" s="87"/>
      <c r="E201" s="88" t="str">
        <f>IFERROR(VLOOKUP(D201,ProductMaster!$A:$B,2,FALSE),"")</f>
        <v/>
      </c>
      <c r="F201" s="88" t="str">
        <f>IFERROR(VLOOKUP(D201,ProductMaster!$A:$C,3,FALSE),"")</f>
        <v/>
      </c>
      <c r="G201" s="89" t="str">
        <f>IFERROR(VLOOKUP($D201,ProductMaster!$A:$O,4,FALSE),"")</f>
        <v/>
      </c>
      <c r="H201" s="90"/>
      <c r="I201" s="123">
        <f>IFERROR(VLOOKUP(E201,ProductMaster!B:G,6,FALSE),0)</f>
        <v>0</v>
      </c>
      <c r="J201" s="123">
        <f t="shared" si="13"/>
        <v>0</v>
      </c>
      <c r="K201" s="123">
        <f t="shared" si="12"/>
        <v>0</v>
      </c>
      <c r="L201" s="91"/>
      <c r="M201" s="92"/>
      <c r="N201" s="92"/>
      <c r="O201" s="93">
        <v>0</v>
      </c>
      <c r="P201" s="86"/>
      <c r="Q201" s="82">
        <f t="shared" si="14"/>
        <v>196</v>
      </c>
    </row>
    <row r="202" spans="1:17" ht="20.25" customHeight="1">
      <c r="A202" s="85"/>
      <c r="B202" s="102"/>
      <c r="C202" s="86"/>
      <c r="D202" s="87"/>
      <c r="E202" s="88" t="str">
        <f>IFERROR(VLOOKUP(D202,ProductMaster!$A:$B,2,FALSE),"")</f>
        <v/>
      </c>
      <c r="F202" s="88" t="str">
        <f>IFERROR(VLOOKUP(D202,ProductMaster!$A:$C,3,FALSE),"")</f>
        <v/>
      </c>
      <c r="G202" s="89" t="str">
        <f>IFERROR(VLOOKUP($D202,ProductMaster!$A:$O,4,FALSE),"")</f>
        <v/>
      </c>
      <c r="H202" s="90"/>
      <c r="I202" s="123">
        <f>IFERROR(VLOOKUP(E202,ProductMaster!B:G,6,FALSE),0)</f>
        <v>0</v>
      </c>
      <c r="J202" s="123">
        <f t="shared" si="13"/>
        <v>0</v>
      </c>
      <c r="K202" s="123">
        <f t="shared" si="12"/>
        <v>0</v>
      </c>
      <c r="L202" s="91"/>
      <c r="M202" s="92"/>
      <c r="N202" s="92"/>
      <c r="O202" s="93">
        <v>0</v>
      </c>
      <c r="P202" s="86"/>
      <c r="Q202" s="82">
        <f t="shared" si="14"/>
        <v>197</v>
      </c>
    </row>
    <row r="203" spans="1:17" ht="20.25" customHeight="1">
      <c r="A203" s="85"/>
      <c r="B203" s="102"/>
      <c r="C203" s="86"/>
      <c r="D203" s="87"/>
      <c r="E203" s="88" t="str">
        <f>IFERROR(VLOOKUP(D203,ProductMaster!$A:$B,2,FALSE),"")</f>
        <v/>
      </c>
      <c r="F203" s="88" t="str">
        <f>IFERROR(VLOOKUP(D203,ProductMaster!$A:$C,3,FALSE),"")</f>
        <v/>
      </c>
      <c r="G203" s="89" t="str">
        <f>IFERROR(VLOOKUP($D203,ProductMaster!$A:$O,4,FALSE),"")</f>
        <v/>
      </c>
      <c r="H203" s="90"/>
      <c r="I203" s="123">
        <f>IFERROR(VLOOKUP(E203,ProductMaster!B:G,6,FALSE),0)</f>
        <v>0</v>
      </c>
      <c r="J203" s="123">
        <f t="shared" si="13"/>
        <v>0</v>
      </c>
      <c r="K203" s="123">
        <f t="shared" si="12"/>
        <v>0</v>
      </c>
      <c r="L203" s="91"/>
      <c r="M203" s="92"/>
      <c r="N203" s="92"/>
      <c r="O203" s="93">
        <v>0</v>
      </c>
      <c r="P203" s="86"/>
      <c r="Q203" s="82">
        <f t="shared" si="14"/>
        <v>198</v>
      </c>
    </row>
    <row r="204" spans="1:17" ht="20.25" customHeight="1">
      <c r="A204" s="85"/>
      <c r="B204" s="102"/>
      <c r="C204" s="86"/>
      <c r="D204" s="87"/>
      <c r="E204" s="88" t="str">
        <f>IFERROR(VLOOKUP(D204,ProductMaster!$A:$B,2,FALSE),"")</f>
        <v/>
      </c>
      <c r="F204" s="88" t="str">
        <f>IFERROR(VLOOKUP(D204,ProductMaster!$A:$C,3,FALSE),"")</f>
        <v/>
      </c>
      <c r="G204" s="89" t="str">
        <f>IFERROR(VLOOKUP($D204,ProductMaster!$A:$O,4,FALSE),"")</f>
        <v/>
      </c>
      <c r="H204" s="90"/>
      <c r="I204" s="123">
        <f>IFERROR(VLOOKUP(E204,ProductMaster!B:G,6,FALSE),0)</f>
        <v>0</v>
      </c>
      <c r="J204" s="123">
        <f t="shared" si="13"/>
        <v>0</v>
      </c>
      <c r="K204" s="123">
        <f t="shared" si="12"/>
        <v>0</v>
      </c>
      <c r="L204" s="91"/>
      <c r="M204" s="92"/>
      <c r="N204" s="92"/>
      <c r="O204" s="93">
        <v>0</v>
      </c>
      <c r="P204" s="86"/>
      <c r="Q204" s="82">
        <f t="shared" si="14"/>
        <v>199</v>
      </c>
    </row>
    <row r="205" spans="1:17" ht="20.25" customHeight="1">
      <c r="A205" s="85"/>
      <c r="B205" s="102"/>
      <c r="C205" s="86"/>
      <c r="D205" s="87"/>
      <c r="E205" s="88" t="str">
        <f>IFERROR(VLOOKUP(D205,ProductMaster!$A:$B,2,FALSE),"")</f>
        <v/>
      </c>
      <c r="F205" s="88" t="str">
        <f>IFERROR(VLOOKUP(D205,ProductMaster!$A:$C,3,FALSE),"")</f>
        <v/>
      </c>
      <c r="G205" s="89" t="str">
        <f>IFERROR(VLOOKUP($D205,ProductMaster!$A:$O,4,FALSE),"")</f>
        <v/>
      </c>
      <c r="H205" s="90"/>
      <c r="I205" s="123">
        <f>IFERROR(VLOOKUP(E205,ProductMaster!B:G,6,FALSE),0)</f>
        <v>0</v>
      </c>
      <c r="J205" s="123">
        <f t="shared" si="13"/>
        <v>0</v>
      </c>
      <c r="K205" s="123">
        <f t="shared" si="12"/>
        <v>0</v>
      </c>
      <c r="L205" s="91"/>
      <c r="M205" s="92"/>
      <c r="N205" s="92"/>
      <c r="O205" s="93">
        <v>0</v>
      </c>
      <c r="P205" s="86"/>
      <c r="Q205" s="82">
        <f t="shared" si="14"/>
        <v>200</v>
      </c>
    </row>
    <row r="206" spans="1:17" ht="20.25" customHeight="1">
      <c r="A206" s="85"/>
      <c r="B206" s="102"/>
      <c r="C206" s="86"/>
      <c r="D206" s="87"/>
      <c r="E206" s="88" t="str">
        <f>IFERROR(VLOOKUP(D206,ProductMaster!$A:$B,2,FALSE),"")</f>
        <v/>
      </c>
      <c r="F206" s="88" t="str">
        <f>IFERROR(VLOOKUP(D206,ProductMaster!$A:$C,3,FALSE),"")</f>
        <v/>
      </c>
      <c r="G206" s="89" t="str">
        <f>IFERROR(VLOOKUP($D206,ProductMaster!$A:$O,4,FALSE),"")</f>
        <v/>
      </c>
      <c r="H206" s="90"/>
      <c r="I206" s="123">
        <f>IFERROR(VLOOKUP(E206,ProductMaster!B:G,6,FALSE),0)</f>
        <v>0</v>
      </c>
      <c r="J206" s="123">
        <f t="shared" si="13"/>
        <v>0</v>
      </c>
      <c r="K206" s="123">
        <f t="shared" si="12"/>
        <v>0</v>
      </c>
      <c r="L206" s="91"/>
      <c r="M206" s="92"/>
      <c r="N206" s="92"/>
      <c r="O206" s="93">
        <v>0</v>
      </c>
      <c r="P206" s="86"/>
      <c r="Q206" s="82">
        <f t="shared" si="14"/>
        <v>201</v>
      </c>
    </row>
    <row r="207" spans="1:17" ht="20.25" customHeight="1">
      <c r="A207" s="85"/>
      <c r="B207" s="102"/>
      <c r="C207" s="86"/>
      <c r="D207" s="87"/>
      <c r="E207" s="88" t="str">
        <f>IFERROR(VLOOKUP(D207,ProductMaster!$A:$B,2,FALSE),"")</f>
        <v/>
      </c>
      <c r="F207" s="88" t="str">
        <f>IFERROR(VLOOKUP(D207,ProductMaster!$A:$C,3,FALSE),"")</f>
        <v/>
      </c>
      <c r="G207" s="89" t="str">
        <f>IFERROR(VLOOKUP($D207,ProductMaster!$A:$O,4,FALSE),"")</f>
        <v/>
      </c>
      <c r="H207" s="90"/>
      <c r="I207" s="123">
        <f>IFERROR(VLOOKUP(E207,ProductMaster!B:G,6,FALSE),0)</f>
        <v>0</v>
      </c>
      <c r="J207" s="123">
        <f t="shared" si="13"/>
        <v>0</v>
      </c>
      <c r="K207" s="123">
        <f t="shared" si="12"/>
        <v>0</v>
      </c>
      <c r="L207" s="91"/>
      <c r="M207" s="92"/>
      <c r="N207" s="92"/>
      <c r="O207" s="93">
        <v>0</v>
      </c>
      <c r="P207" s="86"/>
      <c r="Q207" s="82">
        <f t="shared" si="14"/>
        <v>202</v>
      </c>
    </row>
    <row r="208" spans="1:17" ht="20.25" customHeight="1">
      <c r="A208" s="85"/>
      <c r="B208" s="102"/>
      <c r="C208" s="86"/>
      <c r="D208" s="87"/>
      <c r="E208" s="88" t="str">
        <f>IFERROR(VLOOKUP(D208,ProductMaster!$A:$B,2,FALSE),"")</f>
        <v/>
      </c>
      <c r="F208" s="88" t="str">
        <f>IFERROR(VLOOKUP(D208,ProductMaster!$A:$C,3,FALSE),"")</f>
        <v/>
      </c>
      <c r="G208" s="89" t="str">
        <f>IFERROR(VLOOKUP($D208,ProductMaster!$A:$O,4,FALSE),"")</f>
        <v/>
      </c>
      <c r="H208" s="90"/>
      <c r="I208" s="123">
        <f>IFERROR(VLOOKUP(E208,ProductMaster!B:G,6,FALSE),0)</f>
        <v>0</v>
      </c>
      <c r="J208" s="123">
        <f t="shared" si="13"/>
        <v>0</v>
      </c>
      <c r="K208" s="123">
        <f t="shared" si="12"/>
        <v>0</v>
      </c>
      <c r="L208" s="91"/>
      <c r="M208" s="92"/>
      <c r="N208" s="92"/>
      <c r="O208" s="93">
        <v>0</v>
      </c>
      <c r="P208" s="86"/>
      <c r="Q208" s="82">
        <f t="shared" si="14"/>
        <v>203</v>
      </c>
    </row>
    <row r="209" spans="1:17" ht="20.25" customHeight="1">
      <c r="A209" s="85"/>
      <c r="B209" s="102"/>
      <c r="C209" s="86"/>
      <c r="D209" s="87"/>
      <c r="E209" s="88" t="str">
        <f>IFERROR(VLOOKUP(D209,ProductMaster!$A:$B,2,FALSE),"")</f>
        <v/>
      </c>
      <c r="F209" s="88" t="str">
        <f>IFERROR(VLOOKUP(D209,ProductMaster!$A:$C,3,FALSE),"")</f>
        <v/>
      </c>
      <c r="G209" s="89" t="str">
        <f>IFERROR(VLOOKUP($D209,ProductMaster!$A:$O,4,FALSE),"")</f>
        <v/>
      </c>
      <c r="H209" s="90"/>
      <c r="I209" s="123">
        <f>IFERROR(VLOOKUP(E209,ProductMaster!B:G,6,FALSE),0)</f>
        <v>0</v>
      </c>
      <c r="J209" s="123">
        <f t="shared" si="13"/>
        <v>0</v>
      </c>
      <c r="K209" s="123">
        <f t="shared" ref="K209:K272" si="15">ROUND(SUM(H209*I209),2)</f>
        <v>0</v>
      </c>
      <c r="L209" s="91"/>
      <c r="M209" s="92"/>
      <c r="N209" s="92"/>
      <c r="O209" s="93">
        <v>0</v>
      </c>
      <c r="P209" s="86"/>
      <c r="Q209" s="82">
        <f t="shared" si="14"/>
        <v>204</v>
      </c>
    </row>
    <row r="210" spans="1:17" ht="20.25" customHeight="1">
      <c r="A210" s="85"/>
      <c r="B210" s="102"/>
      <c r="C210" s="86"/>
      <c r="D210" s="87"/>
      <c r="E210" s="88" t="str">
        <f>IFERROR(VLOOKUP(D210,ProductMaster!$A:$B,2,FALSE),"")</f>
        <v/>
      </c>
      <c r="F210" s="88" t="str">
        <f>IFERROR(VLOOKUP(D210,ProductMaster!$A:$C,3,FALSE),"")</f>
        <v/>
      </c>
      <c r="G210" s="89" t="str">
        <f>IFERROR(VLOOKUP($D210,ProductMaster!$A:$O,4,FALSE),"")</f>
        <v/>
      </c>
      <c r="H210" s="90"/>
      <c r="I210" s="123">
        <f>IFERROR(VLOOKUP(E210,ProductMaster!B:G,6,FALSE),0)</f>
        <v>0</v>
      </c>
      <c r="J210" s="123">
        <f t="shared" si="13"/>
        <v>0</v>
      </c>
      <c r="K210" s="123">
        <f t="shared" si="15"/>
        <v>0</v>
      </c>
      <c r="L210" s="91"/>
      <c r="M210" s="92"/>
      <c r="N210" s="92"/>
      <c r="O210" s="93">
        <v>0</v>
      </c>
      <c r="P210" s="86"/>
      <c r="Q210" s="82">
        <f t="shared" si="14"/>
        <v>205</v>
      </c>
    </row>
    <row r="211" spans="1:17" ht="20.25" customHeight="1">
      <c r="A211" s="85"/>
      <c r="B211" s="102"/>
      <c r="C211" s="86"/>
      <c r="D211" s="87"/>
      <c r="E211" s="88" t="str">
        <f>IFERROR(VLOOKUP(D211,ProductMaster!$A:$B,2,FALSE),"")</f>
        <v/>
      </c>
      <c r="F211" s="88" t="str">
        <f>IFERROR(VLOOKUP(D211,ProductMaster!$A:$C,3,FALSE),"")</f>
        <v/>
      </c>
      <c r="G211" s="89" t="str">
        <f>IFERROR(VLOOKUP($D211,ProductMaster!$A:$O,4,FALSE),"")</f>
        <v/>
      </c>
      <c r="H211" s="90"/>
      <c r="I211" s="123">
        <f>IFERROR(VLOOKUP(E211,ProductMaster!B:G,6,FALSE),0)</f>
        <v>0</v>
      </c>
      <c r="J211" s="123">
        <f t="shared" si="13"/>
        <v>0</v>
      </c>
      <c r="K211" s="123">
        <f t="shared" si="15"/>
        <v>0</v>
      </c>
      <c r="L211" s="91"/>
      <c r="M211" s="92"/>
      <c r="N211" s="92"/>
      <c r="O211" s="93">
        <v>0</v>
      </c>
      <c r="P211" s="86"/>
      <c r="Q211" s="82">
        <f t="shared" si="14"/>
        <v>206</v>
      </c>
    </row>
    <row r="212" spans="1:17" ht="20.25" customHeight="1">
      <c r="A212" s="85"/>
      <c r="B212" s="102"/>
      <c r="C212" s="86"/>
      <c r="D212" s="87"/>
      <c r="E212" s="88" t="str">
        <f>IFERROR(VLOOKUP(D212,ProductMaster!$A:$B,2,FALSE),"")</f>
        <v/>
      </c>
      <c r="F212" s="88" t="str">
        <f>IFERROR(VLOOKUP(D212,ProductMaster!$A:$C,3,FALSE),"")</f>
        <v/>
      </c>
      <c r="G212" s="89" t="str">
        <f>IFERROR(VLOOKUP($D212,ProductMaster!$A:$O,4,FALSE),"")</f>
        <v/>
      </c>
      <c r="H212" s="90"/>
      <c r="I212" s="123">
        <f>IFERROR(VLOOKUP(E212,ProductMaster!B:G,6,FALSE),0)</f>
        <v>0</v>
      </c>
      <c r="J212" s="123">
        <f t="shared" si="13"/>
        <v>0</v>
      </c>
      <c r="K212" s="123">
        <f t="shared" si="15"/>
        <v>0</v>
      </c>
      <c r="L212" s="91"/>
      <c r="M212" s="92"/>
      <c r="N212" s="92"/>
      <c r="O212" s="93">
        <v>0</v>
      </c>
      <c r="P212" s="86"/>
      <c r="Q212" s="82">
        <f t="shared" si="14"/>
        <v>207</v>
      </c>
    </row>
    <row r="213" spans="1:17" ht="20.25" customHeight="1">
      <c r="A213" s="85"/>
      <c r="B213" s="102"/>
      <c r="C213" s="86"/>
      <c r="D213" s="87"/>
      <c r="E213" s="88" t="str">
        <f>IFERROR(VLOOKUP(D213,ProductMaster!$A:$B,2,FALSE),"")</f>
        <v/>
      </c>
      <c r="F213" s="88" t="str">
        <f>IFERROR(VLOOKUP(D213,ProductMaster!$A:$C,3,FALSE),"")</f>
        <v/>
      </c>
      <c r="G213" s="89" t="str">
        <f>IFERROR(VLOOKUP($D213,ProductMaster!$A:$O,4,FALSE),"")</f>
        <v/>
      </c>
      <c r="H213" s="90"/>
      <c r="I213" s="123">
        <f>IFERROR(VLOOKUP(E213,ProductMaster!B:G,6,FALSE),0)</f>
        <v>0</v>
      </c>
      <c r="J213" s="123">
        <f t="shared" si="13"/>
        <v>0</v>
      </c>
      <c r="K213" s="123">
        <f t="shared" si="15"/>
        <v>0</v>
      </c>
      <c r="L213" s="91"/>
      <c r="M213" s="92"/>
      <c r="N213" s="92"/>
      <c r="O213" s="93">
        <v>0</v>
      </c>
      <c r="P213" s="86"/>
      <c r="Q213" s="82">
        <f t="shared" si="14"/>
        <v>208</v>
      </c>
    </row>
    <row r="214" spans="1:17" ht="20.25" customHeight="1">
      <c r="A214" s="85"/>
      <c r="B214" s="102"/>
      <c r="C214" s="86"/>
      <c r="D214" s="87"/>
      <c r="E214" s="88" t="str">
        <f>IFERROR(VLOOKUP(D214,ProductMaster!$A:$B,2,FALSE),"")</f>
        <v/>
      </c>
      <c r="F214" s="88" t="str">
        <f>IFERROR(VLOOKUP(D214,ProductMaster!$A:$C,3,FALSE),"")</f>
        <v/>
      </c>
      <c r="G214" s="89" t="str">
        <f>IFERROR(VLOOKUP($D214,ProductMaster!$A:$O,4,FALSE),"")</f>
        <v/>
      </c>
      <c r="H214" s="90"/>
      <c r="I214" s="123">
        <f>IFERROR(VLOOKUP(E214,ProductMaster!B:G,6,FALSE),0)</f>
        <v>0</v>
      </c>
      <c r="J214" s="123">
        <f t="shared" si="13"/>
        <v>0</v>
      </c>
      <c r="K214" s="123">
        <f t="shared" si="15"/>
        <v>0</v>
      </c>
      <c r="L214" s="91"/>
      <c r="M214" s="92"/>
      <c r="N214" s="92"/>
      <c r="O214" s="93">
        <v>0</v>
      </c>
      <c r="P214" s="86"/>
      <c r="Q214" s="82">
        <f t="shared" si="14"/>
        <v>209</v>
      </c>
    </row>
    <row r="215" spans="1:17" ht="20.25" customHeight="1">
      <c r="A215" s="85"/>
      <c r="B215" s="102"/>
      <c r="C215" s="86"/>
      <c r="D215" s="87"/>
      <c r="E215" s="88" t="str">
        <f>IFERROR(VLOOKUP(D215,ProductMaster!$A:$B,2,FALSE),"")</f>
        <v/>
      </c>
      <c r="F215" s="88" t="str">
        <f>IFERROR(VLOOKUP(D215,ProductMaster!$A:$C,3,FALSE),"")</f>
        <v/>
      </c>
      <c r="G215" s="89" t="str">
        <f>IFERROR(VLOOKUP($D215,ProductMaster!$A:$O,4,FALSE),"")</f>
        <v/>
      </c>
      <c r="H215" s="90"/>
      <c r="I215" s="123">
        <f>IFERROR(VLOOKUP(E215,ProductMaster!B:G,6,FALSE),0)</f>
        <v>0</v>
      </c>
      <c r="J215" s="123">
        <f t="shared" si="13"/>
        <v>0</v>
      </c>
      <c r="K215" s="123">
        <f t="shared" si="15"/>
        <v>0</v>
      </c>
      <c r="L215" s="91"/>
      <c r="M215" s="92"/>
      <c r="N215" s="92"/>
      <c r="O215" s="93">
        <v>0</v>
      </c>
      <c r="P215" s="86"/>
      <c r="Q215" s="82">
        <f t="shared" si="14"/>
        <v>210</v>
      </c>
    </row>
    <row r="216" spans="1:17" ht="20.25" customHeight="1">
      <c r="A216" s="85"/>
      <c r="B216" s="102"/>
      <c r="C216" s="86"/>
      <c r="D216" s="87"/>
      <c r="E216" s="88" t="str">
        <f>IFERROR(VLOOKUP(D216,ProductMaster!$A:$B,2,FALSE),"")</f>
        <v/>
      </c>
      <c r="F216" s="88" t="str">
        <f>IFERROR(VLOOKUP(D216,ProductMaster!$A:$C,3,FALSE),"")</f>
        <v/>
      </c>
      <c r="G216" s="89" t="str">
        <f>IFERROR(VLOOKUP($D216,ProductMaster!$A:$O,4,FALSE),"")</f>
        <v/>
      </c>
      <c r="H216" s="90"/>
      <c r="I216" s="123">
        <f>IFERROR(VLOOKUP(E216,ProductMaster!B:G,6,FALSE),0)</f>
        <v>0</v>
      </c>
      <c r="J216" s="123">
        <f t="shared" si="13"/>
        <v>0</v>
      </c>
      <c r="K216" s="123">
        <f t="shared" si="15"/>
        <v>0</v>
      </c>
      <c r="L216" s="91"/>
      <c r="M216" s="92"/>
      <c r="N216" s="92"/>
      <c r="O216" s="93">
        <v>0</v>
      </c>
      <c r="P216" s="86"/>
      <c r="Q216" s="82">
        <f t="shared" si="14"/>
        <v>211</v>
      </c>
    </row>
    <row r="217" spans="1:17" ht="20.25" customHeight="1">
      <c r="A217" s="85"/>
      <c r="B217" s="102"/>
      <c r="C217" s="86"/>
      <c r="D217" s="87"/>
      <c r="E217" s="88" t="str">
        <f>IFERROR(VLOOKUP(D217,ProductMaster!$A:$B,2,FALSE),"")</f>
        <v/>
      </c>
      <c r="F217" s="88" t="str">
        <f>IFERROR(VLOOKUP(D217,ProductMaster!$A:$C,3,FALSE),"")</f>
        <v/>
      </c>
      <c r="G217" s="89" t="str">
        <f>IFERROR(VLOOKUP($D217,ProductMaster!$A:$O,4,FALSE),"")</f>
        <v/>
      </c>
      <c r="H217" s="90"/>
      <c r="I217" s="123">
        <f>IFERROR(VLOOKUP(E217,ProductMaster!B:G,6,FALSE),0)</f>
        <v>0</v>
      </c>
      <c r="J217" s="123">
        <f t="shared" si="13"/>
        <v>0</v>
      </c>
      <c r="K217" s="123">
        <f t="shared" si="15"/>
        <v>0</v>
      </c>
      <c r="L217" s="91"/>
      <c r="M217" s="92"/>
      <c r="N217" s="92"/>
      <c r="O217" s="93">
        <v>0</v>
      </c>
      <c r="P217" s="86"/>
      <c r="Q217" s="82">
        <f t="shared" si="14"/>
        <v>212</v>
      </c>
    </row>
    <row r="218" spans="1:17" ht="20.25" customHeight="1">
      <c r="A218" s="85"/>
      <c r="B218" s="102"/>
      <c r="C218" s="86"/>
      <c r="D218" s="87"/>
      <c r="E218" s="88" t="str">
        <f>IFERROR(VLOOKUP(D218,ProductMaster!$A:$B,2,FALSE),"")</f>
        <v/>
      </c>
      <c r="F218" s="88" t="str">
        <f>IFERROR(VLOOKUP(D218,ProductMaster!$A:$C,3,FALSE),"")</f>
        <v/>
      </c>
      <c r="G218" s="89" t="str">
        <f>IFERROR(VLOOKUP($D218,ProductMaster!$A:$O,4,FALSE),"")</f>
        <v/>
      </c>
      <c r="H218" s="90"/>
      <c r="I218" s="123">
        <f>IFERROR(VLOOKUP(E218,ProductMaster!B:G,6,FALSE),0)</f>
        <v>0</v>
      </c>
      <c r="J218" s="123">
        <f t="shared" si="13"/>
        <v>0</v>
      </c>
      <c r="K218" s="123">
        <f t="shared" si="15"/>
        <v>0</v>
      </c>
      <c r="L218" s="91"/>
      <c r="M218" s="92"/>
      <c r="N218" s="92"/>
      <c r="O218" s="93">
        <v>0</v>
      </c>
      <c r="P218" s="86"/>
      <c r="Q218" s="82">
        <f t="shared" si="14"/>
        <v>213</v>
      </c>
    </row>
    <row r="219" spans="1:17" ht="20.25" customHeight="1">
      <c r="A219" s="85"/>
      <c r="B219" s="102"/>
      <c r="C219" s="86"/>
      <c r="D219" s="87"/>
      <c r="E219" s="88" t="str">
        <f>IFERROR(VLOOKUP(D219,ProductMaster!$A:$B,2,FALSE),"")</f>
        <v/>
      </c>
      <c r="F219" s="88" t="str">
        <f>IFERROR(VLOOKUP(D219,ProductMaster!$A:$C,3,FALSE),"")</f>
        <v/>
      </c>
      <c r="G219" s="89" t="str">
        <f>IFERROR(VLOOKUP($D219,ProductMaster!$A:$O,4,FALSE),"")</f>
        <v/>
      </c>
      <c r="H219" s="90"/>
      <c r="I219" s="123">
        <f>IFERROR(VLOOKUP(E219,ProductMaster!B:G,6,FALSE),0)</f>
        <v>0</v>
      </c>
      <c r="J219" s="123">
        <f t="shared" si="13"/>
        <v>0</v>
      </c>
      <c r="K219" s="123">
        <f t="shared" si="15"/>
        <v>0</v>
      </c>
      <c r="L219" s="91"/>
      <c r="M219" s="92"/>
      <c r="N219" s="92"/>
      <c r="O219" s="93">
        <v>0</v>
      </c>
      <c r="P219" s="86"/>
      <c r="Q219" s="82">
        <f t="shared" si="14"/>
        <v>214</v>
      </c>
    </row>
    <row r="220" spans="1:17" ht="20.25" customHeight="1">
      <c r="A220" s="85"/>
      <c r="B220" s="102"/>
      <c r="C220" s="86"/>
      <c r="D220" s="87"/>
      <c r="E220" s="88" t="str">
        <f>IFERROR(VLOOKUP(D220,ProductMaster!$A:$B,2,FALSE),"")</f>
        <v/>
      </c>
      <c r="F220" s="88" t="str">
        <f>IFERROR(VLOOKUP(D220,ProductMaster!$A:$C,3,FALSE),"")</f>
        <v/>
      </c>
      <c r="G220" s="89" t="str">
        <f>IFERROR(VLOOKUP($D220,ProductMaster!$A:$O,4,FALSE),"")</f>
        <v/>
      </c>
      <c r="H220" s="90"/>
      <c r="I220" s="123">
        <f>IFERROR(VLOOKUP(E220,ProductMaster!B:G,6,FALSE),0)</f>
        <v>0</v>
      </c>
      <c r="J220" s="123">
        <f t="shared" si="13"/>
        <v>0</v>
      </c>
      <c r="K220" s="123">
        <f t="shared" si="15"/>
        <v>0</v>
      </c>
      <c r="L220" s="91"/>
      <c r="M220" s="92"/>
      <c r="N220" s="92"/>
      <c r="O220" s="93">
        <v>0</v>
      </c>
      <c r="P220" s="86"/>
      <c r="Q220" s="82">
        <f t="shared" si="14"/>
        <v>215</v>
      </c>
    </row>
    <row r="221" spans="1:17" ht="20.25" customHeight="1">
      <c r="A221" s="85"/>
      <c r="B221" s="102"/>
      <c r="C221" s="86"/>
      <c r="D221" s="87"/>
      <c r="E221" s="88" t="str">
        <f>IFERROR(VLOOKUP(D221,ProductMaster!$A:$B,2,FALSE),"")</f>
        <v/>
      </c>
      <c r="F221" s="88" t="str">
        <f>IFERROR(VLOOKUP(D221,ProductMaster!$A:$C,3,FALSE),"")</f>
        <v/>
      </c>
      <c r="G221" s="89" t="str">
        <f>IFERROR(VLOOKUP($D221,ProductMaster!$A:$O,4,FALSE),"")</f>
        <v/>
      </c>
      <c r="H221" s="90"/>
      <c r="I221" s="123">
        <f>IFERROR(VLOOKUP(E221,ProductMaster!B:G,6,FALSE),0)</f>
        <v>0</v>
      </c>
      <c r="J221" s="123">
        <f t="shared" si="13"/>
        <v>0</v>
      </c>
      <c r="K221" s="123">
        <f t="shared" si="15"/>
        <v>0</v>
      </c>
      <c r="L221" s="91"/>
      <c r="M221" s="92"/>
      <c r="N221" s="92"/>
      <c r="O221" s="93">
        <v>0</v>
      </c>
      <c r="P221" s="86"/>
      <c r="Q221" s="82">
        <f t="shared" si="14"/>
        <v>216</v>
      </c>
    </row>
    <row r="222" spans="1:17" ht="20.25" customHeight="1">
      <c r="A222" s="85"/>
      <c r="B222" s="102"/>
      <c r="C222" s="86"/>
      <c r="D222" s="87"/>
      <c r="E222" s="88" t="str">
        <f>IFERROR(VLOOKUP(D222,ProductMaster!$A:$B,2,FALSE),"")</f>
        <v/>
      </c>
      <c r="F222" s="88" t="str">
        <f>IFERROR(VLOOKUP(D222,ProductMaster!$A:$C,3,FALSE),"")</f>
        <v/>
      </c>
      <c r="G222" s="89" t="str">
        <f>IFERROR(VLOOKUP($D222,ProductMaster!$A:$O,4,FALSE),"")</f>
        <v/>
      </c>
      <c r="H222" s="90"/>
      <c r="I222" s="123">
        <f>IFERROR(VLOOKUP(E222,ProductMaster!B:G,6,FALSE),0)</f>
        <v>0</v>
      </c>
      <c r="J222" s="123">
        <f t="shared" si="13"/>
        <v>0</v>
      </c>
      <c r="K222" s="123">
        <f t="shared" si="15"/>
        <v>0</v>
      </c>
      <c r="L222" s="91"/>
      <c r="M222" s="92"/>
      <c r="N222" s="92"/>
      <c r="O222" s="93">
        <v>0</v>
      </c>
      <c r="P222" s="86"/>
      <c r="Q222" s="82">
        <f t="shared" si="14"/>
        <v>217</v>
      </c>
    </row>
    <row r="223" spans="1:17" ht="20.25" customHeight="1">
      <c r="A223" s="85"/>
      <c r="B223" s="102"/>
      <c r="C223" s="86"/>
      <c r="D223" s="87"/>
      <c r="E223" s="88" t="str">
        <f>IFERROR(VLOOKUP(D223,ProductMaster!$A:$B,2,FALSE),"")</f>
        <v/>
      </c>
      <c r="F223" s="88" t="str">
        <f>IFERROR(VLOOKUP(D223,ProductMaster!$A:$C,3,FALSE),"")</f>
        <v/>
      </c>
      <c r="G223" s="89" t="str">
        <f>IFERROR(VLOOKUP($D223,ProductMaster!$A:$O,4,FALSE),"")</f>
        <v/>
      </c>
      <c r="H223" s="90"/>
      <c r="I223" s="123">
        <f>IFERROR(VLOOKUP(E223,ProductMaster!B:G,6,FALSE),0)</f>
        <v>0</v>
      </c>
      <c r="J223" s="123">
        <f t="shared" si="13"/>
        <v>0</v>
      </c>
      <c r="K223" s="123">
        <f t="shared" si="15"/>
        <v>0</v>
      </c>
      <c r="L223" s="91"/>
      <c r="M223" s="92"/>
      <c r="N223" s="92"/>
      <c r="O223" s="93">
        <v>0</v>
      </c>
      <c r="P223" s="86"/>
      <c r="Q223" s="82">
        <f t="shared" si="14"/>
        <v>218</v>
      </c>
    </row>
    <row r="224" spans="1:17" ht="20.25" customHeight="1">
      <c r="A224" s="85"/>
      <c r="B224" s="102"/>
      <c r="C224" s="86"/>
      <c r="D224" s="87"/>
      <c r="E224" s="88" t="str">
        <f>IFERROR(VLOOKUP(D224,ProductMaster!$A:$B,2,FALSE),"")</f>
        <v/>
      </c>
      <c r="F224" s="88" t="str">
        <f>IFERROR(VLOOKUP(D224,ProductMaster!$A:$C,3,FALSE),"")</f>
        <v/>
      </c>
      <c r="G224" s="89" t="str">
        <f>IFERROR(VLOOKUP($D224,ProductMaster!$A:$O,4,FALSE),"")</f>
        <v/>
      </c>
      <c r="H224" s="90"/>
      <c r="I224" s="123">
        <f>IFERROR(VLOOKUP(E224,ProductMaster!B:G,6,FALSE),0)</f>
        <v>0</v>
      </c>
      <c r="J224" s="123">
        <f t="shared" si="13"/>
        <v>0</v>
      </c>
      <c r="K224" s="123">
        <f t="shared" si="15"/>
        <v>0</v>
      </c>
      <c r="L224" s="91"/>
      <c r="M224" s="92"/>
      <c r="N224" s="92"/>
      <c r="O224" s="93">
        <v>0</v>
      </c>
      <c r="P224" s="86"/>
      <c r="Q224" s="82">
        <f t="shared" si="14"/>
        <v>219</v>
      </c>
    </row>
    <row r="225" spans="1:17" ht="20.25" customHeight="1">
      <c r="A225" s="85"/>
      <c r="B225" s="102"/>
      <c r="C225" s="86"/>
      <c r="D225" s="87"/>
      <c r="E225" s="88" t="str">
        <f>IFERROR(VLOOKUP(D225,ProductMaster!$A:$B,2,FALSE),"")</f>
        <v/>
      </c>
      <c r="F225" s="88" t="str">
        <f>IFERROR(VLOOKUP(D225,ProductMaster!$A:$C,3,FALSE),"")</f>
        <v/>
      </c>
      <c r="G225" s="89" t="str">
        <f>IFERROR(VLOOKUP($D225,ProductMaster!$A:$O,4,FALSE),"")</f>
        <v/>
      </c>
      <c r="H225" s="90"/>
      <c r="I225" s="123">
        <f>IFERROR(VLOOKUP(E225,ProductMaster!B:G,6,FALSE),0)</f>
        <v>0</v>
      </c>
      <c r="J225" s="123">
        <f t="shared" si="13"/>
        <v>0</v>
      </c>
      <c r="K225" s="123">
        <f t="shared" si="15"/>
        <v>0</v>
      </c>
      <c r="L225" s="91"/>
      <c r="M225" s="92"/>
      <c r="N225" s="92"/>
      <c r="O225" s="93">
        <v>0</v>
      </c>
      <c r="P225" s="86"/>
      <c r="Q225" s="82">
        <f t="shared" si="14"/>
        <v>220</v>
      </c>
    </row>
    <row r="226" spans="1:17" ht="20.25" customHeight="1">
      <c r="A226" s="85"/>
      <c r="B226" s="102"/>
      <c r="C226" s="86"/>
      <c r="D226" s="87"/>
      <c r="E226" s="88" t="str">
        <f>IFERROR(VLOOKUP(D226,ProductMaster!$A:$B,2,FALSE),"")</f>
        <v/>
      </c>
      <c r="F226" s="88" t="str">
        <f>IFERROR(VLOOKUP(D226,ProductMaster!$A:$C,3,FALSE),"")</f>
        <v/>
      </c>
      <c r="G226" s="89" t="str">
        <f>IFERROR(VLOOKUP($D226,ProductMaster!$A:$O,4,FALSE),"")</f>
        <v/>
      </c>
      <c r="H226" s="90"/>
      <c r="I226" s="123">
        <f>IFERROR(VLOOKUP(E226,ProductMaster!B:G,6,FALSE),0)</f>
        <v>0</v>
      </c>
      <c r="J226" s="123">
        <f t="shared" si="13"/>
        <v>0</v>
      </c>
      <c r="K226" s="123">
        <f t="shared" si="15"/>
        <v>0</v>
      </c>
      <c r="L226" s="91"/>
      <c r="M226" s="92"/>
      <c r="N226" s="92"/>
      <c r="O226" s="93">
        <v>0</v>
      </c>
      <c r="P226" s="86"/>
      <c r="Q226" s="82">
        <f t="shared" si="14"/>
        <v>221</v>
      </c>
    </row>
    <row r="227" spans="1:17" ht="20.25" customHeight="1">
      <c r="A227" s="85"/>
      <c r="B227" s="102"/>
      <c r="C227" s="86"/>
      <c r="D227" s="87"/>
      <c r="E227" s="88" t="str">
        <f>IFERROR(VLOOKUP(D227,ProductMaster!$A:$B,2,FALSE),"")</f>
        <v/>
      </c>
      <c r="F227" s="88" t="str">
        <f>IFERROR(VLOOKUP(D227,ProductMaster!$A:$C,3,FALSE),"")</f>
        <v/>
      </c>
      <c r="G227" s="89" t="str">
        <f>IFERROR(VLOOKUP($D227,ProductMaster!$A:$O,4,FALSE),"")</f>
        <v/>
      </c>
      <c r="H227" s="90"/>
      <c r="I227" s="123">
        <f>IFERROR(VLOOKUP(E227,ProductMaster!B:G,6,FALSE),0)</f>
        <v>0</v>
      </c>
      <c r="J227" s="123">
        <f t="shared" si="13"/>
        <v>0</v>
      </c>
      <c r="K227" s="123">
        <f t="shared" si="15"/>
        <v>0</v>
      </c>
      <c r="L227" s="91"/>
      <c r="M227" s="92"/>
      <c r="N227" s="92"/>
      <c r="O227" s="93">
        <v>0</v>
      </c>
      <c r="P227" s="86"/>
      <c r="Q227" s="82">
        <f t="shared" si="14"/>
        <v>222</v>
      </c>
    </row>
    <row r="228" spans="1:17" ht="20.25" customHeight="1">
      <c r="A228" s="85"/>
      <c r="B228" s="102"/>
      <c r="C228" s="86"/>
      <c r="D228" s="87"/>
      <c r="E228" s="88" t="str">
        <f>IFERROR(VLOOKUP(D228,ProductMaster!$A:$B,2,FALSE),"")</f>
        <v/>
      </c>
      <c r="F228" s="88" t="str">
        <f>IFERROR(VLOOKUP(D228,ProductMaster!$A:$C,3,FALSE),"")</f>
        <v/>
      </c>
      <c r="G228" s="89" t="str">
        <f>IFERROR(VLOOKUP($D228,ProductMaster!$A:$O,4,FALSE),"")</f>
        <v/>
      </c>
      <c r="H228" s="90"/>
      <c r="I228" s="123">
        <f>IFERROR(VLOOKUP(E228,ProductMaster!B:G,6,FALSE),0)</f>
        <v>0</v>
      </c>
      <c r="J228" s="123">
        <f t="shared" si="13"/>
        <v>0</v>
      </c>
      <c r="K228" s="123">
        <f t="shared" si="15"/>
        <v>0</v>
      </c>
      <c r="L228" s="91"/>
      <c r="M228" s="92"/>
      <c r="N228" s="92"/>
      <c r="O228" s="93">
        <v>0</v>
      </c>
      <c r="P228" s="86"/>
      <c r="Q228" s="82">
        <f t="shared" si="14"/>
        <v>223</v>
      </c>
    </row>
    <row r="229" spans="1:17" ht="20.25" customHeight="1">
      <c r="A229" s="85"/>
      <c r="B229" s="102"/>
      <c r="C229" s="86"/>
      <c r="D229" s="87"/>
      <c r="E229" s="88" t="str">
        <f>IFERROR(VLOOKUP(D229,ProductMaster!$A:$B,2,FALSE),"")</f>
        <v/>
      </c>
      <c r="F229" s="88" t="str">
        <f>IFERROR(VLOOKUP(D229,ProductMaster!$A:$C,3,FALSE),"")</f>
        <v/>
      </c>
      <c r="G229" s="89" t="str">
        <f>IFERROR(VLOOKUP($D229,ProductMaster!$A:$O,4,FALSE),"")</f>
        <v/>
      </c>
      <c r="H229" s="90"/>
      <c r="I229" s="123">
        <f>IFERROR(VLOOKUP(E229,ProductMaster!B:G,6,FALSE),0)</f>
        <v>0</v>
      </c>
      <c r="J229" s="123">
        <f t="shared" si="13"/>
        <v>0</v>
      </c>
      <c r="K229" s="123">
        <f t="shared" si="15"/>
        <v>0</v>
      </c>
      <c r="L229" s="91"/>
      <c r="M229" s="92"/>
      <c r="N229" s="92"/>
      <c r="O229" s="93">
        <v>0</v>
      </c>
      <c r="P229" s="86"/>
      <c r="Q229" s="82">
        <f t="shared" si="14"/>
        <v>224</v>
      </c>
    </row>
    <row r="230" spans="1:17" ht="20.25" customHeight="1">
      <c r="A230" s="85"/>
      <c r="B230" s="102"/>
      <c r="C230" s="86"/>
      <c r="D230" s="87"/>
      <c r="E230" s="88" t="str">
        <f>IFERROR(VLOOKUP(D230,ProductMaster!$A:$B,2,FALSE),"")</f>
        <v/>
      </c>
      <c r="F230" s="88" t="str">
        <f>IFERROR(VLOOKUP(D230,ProductMaster!$A:$C,3,FALSE),"")</f>
        <v/>
      </c>
      <c r="G230" s="89" t="str">
        <f>IFERROR(VLOOKUP($D230,ProductMaster!$A:$O,4,FALSE),"")</f>
        <v/>
      </c>
      <c r="H230" s="90"/>
      <c r="I230" s="123">
        <f>IFERROR(VLOOKUP(E230,ProductMaster!B:G,6,FALSE),0)</f>
        <v>0</v>
      </c>
      <c r="J230" s="123">
        <f t="shared" si="13"/>
        <v>0</v>
      </c>
      <c r="K230" s="123">
        <f t="shared" si="15"/>
        <v>0</v>
      </c>
      <c r="L230" s="91"/>
      <c r="M230" s="92"/>
      <c r="N230" s="92"/>
      <c r="O230" s="93">
        <v>0</v>
      </c>
      <c r="P230" s="86"/>
      <c r="Q230" s="82">
        <f t="shared" si="14"/>
        <v>225</v>
      </c>
    </row>
    <row r="231" spans="1:17" ht="20.25" customHeight="1">
      <c r="A231" s="85"/>
      <c r="B231" s="102"/>
      <c r="C231" s="86"/>
      <c r="D231" s="87"/>
      <c r="E231" s="88" t="str">
        <f>IFERROR(VLOOKUP(D231,ProductMaster!$A:$B,2,FALSE),"")</f>
        <v/>
      </c>
      <c r="F231" s="88" t="str">
        <f>IFERROR(VLOOKUP(D231,ProductMaster!$A:$C,3,FALSE),"")</f>
        <v/>
      </c>
      <c r="G231" s="89" t="str">
        <f>IFERROR(VLOOKUP($D231,ProductMaster!$A:$O,4,FALSE),"")</f>
        <v/>
      </c>
      <c r="H231" s="90"/>
      <c r="I231" s="123">
        <f>IFERROR(VLOOKUP(E231,ProductMaster!B:G,6,FALSE),0)</f>
        <v>0</v>
      </c>
      <c r="J231" s="123">
        <f t="shared" si="13"/>
        <v>0</v>
      </c>
      <c r="K231" s="123">
        <f t="shared" si="15"/>
        <v>0</v>
      </c>
      <c r="L231" s="91"/>
      <c r="M231" s="92"/>
      <c r="N231" s="92"/>
      <c r="O231" s="93">
        <v>0</v>
      </c>
      <c r="P231" s="86"/>
      <c r="Q231" s="82">
        <f t="shared" si="14"/>
        <v>226</v>
      </c>
    </row>
    <row r="232" spans="1:17" ht="20.25" customHeight="1">
      <c r="A232" s="85"/>
      <c r="B232" s="102"/>
      <c r="C232" s="86"/>
      <c r="D232" s="87"/>
      <c r="E232" s="88" t="str">
        <f>IFERROR(VLOOKUP(D232,ProductMaster!$A:$B,2,FALSE),"")</f>
        <v/>
      </c>
      <c r="F232" s="88" t="str">
        <f>IFERROR(VLOOKUP(D232,ProductMaster!$A:$C,3,FALSE),"")</f>
        <v/>
      </c>
      <c r="G232" s="89" t="str">
        <f>IFERROR(VLOOKUP($D232,ProductMaster!$A:$O,4,FALSE),"")</f>
        <v/>
      </c>
      <c r="H232" s="90"/>
      <c r="I232" s="123">
        <f>IFERROR(VLOOKUP(E232,ProductMaster!B:G,6,FALSE),0)</f>
        <v>0</v>
      </c>
      <c r="J232" s="123">
        <f t="shared" si="13"/>
        <v>0</v>
      </c>
      <c r="K232" s="123">
        <f t="shared" si="15"/>
        <v>0</v>
      </c>
      <c r="L232" s="91"/>
      <c r="M232" s="92"/>
      <c r="N232" s="92"/>
      <c r="O232" s="93">
        <v>0</v>
      </c>
      <c r="P232" s="86"/>
      <c r="Q232" s="82">
        <f t="shared" si="14"/>
        <v>227</v>
      </c>
    </row>
    <row r="233" spans="1:17" ht="20.25" customHeight="1">
      <c r="A233" s="85"/>
      <c r="B233" s="102"/>
      <c r="C233" s="86"/>
      <c r="D233" s="87"/>
      <c r="E233" s="88" t="str">
        <f>IFERROR(VLOOKUP(D233,ProductMaster!$A:$B,2,FALSE),"")</f>
        <v/>
      </c>
      <c r="F233" s="88" t="str">
        <f>IFERROR(VLOOKUP(D233,ProductMaster!$A:$C,3,FALSE),"")</f>
        <v/>
      </c>
      <c r="G233" s="89" t="str">
        <f>IFERROR(VLOOKUP($D233,ProductMaster!$A:$O,4,FALSE),"")</f>
        <v/>
      </c>
      <c r="H233" s="90"/>
      <c r="I233" s="123">
        <f>IFERROR(VLOOKUP(E233,ProductMaster!B:G,6,FALSE),0)</f>
        <v>0</v>
      </c>
      <c r="J233" s="123">
        <f t="shared" si="13"/>
        <v>0</v>
      </c>
      <c r="K233" s="123">
        <f t="shared" si="15"/>
        <v>0</v>
      </c>
      <c r="L233" s="91"/>
      <c r="M233" s="92"/>
      <c r="N233" s="92"/>
      <c r="O233" s="93">
        <v>0</v>
      </c>
      <c r="P233" s="86"/>
      <c r="Q233" s="82">
        <f t="shared" si="14"/>
        <v>228</v>
      </c>
    </row>
    <row r="234" spans="1:17" ht="20.25" customHeight="1">
      <c r="A234" s="85"/>
      <c r="B234" s="102"/>
      <c r="C234" s="86"/>
      <c r="D234" s="87"/>
      <c r="E234" s="88" t="str">
        <f>IFERROR(VLOOKUP(D234,ProductMaster!$A:$B,2,FALSE),"")</f>
        <v/>
      </c>
      <c r="F234" s="88" t="str">
        <f>IFERROR(VLOOKUP(D234,ProductMaster!$A:$C,3,FALSE),"")</f>
        <v/>
      </c>
      <c r="G234" s="89" t="str">
        <f>IFERROR(VLOOKUP($D234,ProductMaster!$A:$O,4,FALSE),"")</f>
        <v/>
      </c>
      <c r="H234" s="90"/>
      <c r="I234" s="123">
        <f>IFERROR(VLOOKUP(E234,ProductMaster!B:G,6,FALSE),0)</f>
        <v>0</v>
      </c>
      <c r="J234" s="123">
        <f t="shared" si="13"/>
        <v>0</v>
      </c>
      <c r="K234" s="123">
        <f t="shared" si="15"/>
        <v>0</v>
      </c>
      <c r="L234" s="91"/>
      <c r="M234" s="92"/>
      <c r="N234" s="92"/>
      <c r="O234" s="93">
        <v>0</v>
      </c>
      <c r="P234" s="86"/>
      <c r="Q234" s="82">
        <f t="shared" si="14"/>
        <v>229</v>
      </c>
    </row>
    <row r="235" spans="1:17" ht="20.25" customHeight="1">
      <c r="A235" s="85"/>
      <c r="B235" s="102"/>
      <c r="C235" s="86"/>
      <c r="D235" s="87"/>
      <c r="E235" s="88" t="str">
        <f>IFERROR(VLOOKUP(D235,ProductMaster!$A:$B,2,FALSE),"")</f>
        <v/>
      </c>
      <c r="F235" s="88" t="str">
        <f>IFERROR(VLOOKUP(D235,ProductMaster!$A:$C,3,FALSE),"")</f>
        <v/>
      </c>
      <c r="G235" s="89" t="str">
        <f>IFERROR(VLOOKUP($D235,ProductMaster!$A:$O,4,FALSE),"")</f>
        <v/>
      </c>
      <c r="H235" s="90"/>
      <c r="I235" s="123">
        <f>IFERROR(VLOOKUP(E235,ProductMaster!B:G,6,FALSE),0)</f>
        <v>0</v>
      </c>
      <c r="J235" s="123">
        <f t="shared" si="13"/>
        <v>0</v>
      </c>
      <c r="K235" s="123">
        <f t="shared" si="15"/>
        <v>0</v>
      </c>
      <c r="L235" s="91"/>
      <c r="M235" s="92"/>
      <c r="N235" s="92"/>
      <c r="O235" s="93">
        <v>0</v>
      </c>
      <c r="P235" s="86"/>
      <c r="Q235" s="82">
        <f t="shared" si="14"/>
        <v>230</v>
      </c>
    </row>
    <row r="236" spans="1:17" ht="20.25" customHeight="1">
      <c r="A236" s="85"/>
      <c r="B236" s="102"/>
      <c r="C236" s="86"/>
      <c r="D236" s="87"/>
      <c r="E236" s="88" t="str">
        <f>IFERROR(VLOOKUP(D236,ProductMaster!$A:$B,2,FALSE),"")</f>
        <v/>
      </c>
      <c r="F236" s="88" t="str">
        <f>IFERROR(VLOOKUP(D236,ProductMaster!$A:$C,3,FALSE),"")</f>
        <v/>
      </c>
      <c r="G236" s="89" t="str">
        <f>IFERROR(VLOOKUP($D236,ProductMaster!$A:$O,4,FALSE),"")</f>
        <v/>
      </c>
      <c r="H236" s="90"/>
      <c r="I236" s="123">
        <f>IFERROR(VLOOKUP(E236,ProductMaster!B:G,6,FALSE),0)</f>
        <v>0</v>
      </c>
      <c r="J236" s="123">
        <f t="shared" si="13"/>
        <v>0</v>
      </c>
      <c r="K236" s="123">
        <f t="shared" si="15"/>
        <v>0</v>
      </c>
      <c r="L236" s="91"/>
      <c r="M236" s="92"/>
      <c r="N236" s="92"/>
      <c r="O236" s="93">
        <v>0</v>
      </c>
      <c r="P236" s="86"/>
      <c r="Q236" s="82">
        <f t="shared" si="14"/>
        <v>231</v>
      </c>
    </row>
    <row r="237" spans="1:17" ht="20.25" customHeight="1">
      <c r="A237" s="85"/>
      <c r="B237" s="102"/>
      <c r="C237" s="86"/>
      <c r="D237" s="87"/>
      <c r="E237" s="88" t="str">
        <f>IFERROR(VLOOKUP(D237,ProductMaster!$A:$B,2,FALSE),"")</f>
        <v/>
      </c>
      <c r="F237" s="88" t="str">
        <f>IFERROR(VLOOKUP(D237,ProductMaster!$A:$C,3,FALSE),"")</f>
        <v/>
      </c>
      <c r="G237" s="89" t="str">
        <f>IFERROR(VLOOKUP($D237,ProductMaster!$A:$O,4,FALSE),"")</f>
        <v/>
      </c>
      <c r="H237" s="90"/>
      <c r="I237" s="123">
        <f>IFERROR(VLOOKUP(E237,ProductMaster!B:G,6,FALSE),0)</f>
        <v>0</v>
      </c>
      <c r="J237" s="123">
        <f t="shared" si="13"/>
        <v>0</v>
      </c>
      <c r="K237" s="123">
        <f t="shared" si="15"/>
        <v>0</v>
      </c>
      <c r="L237" s="91"/>
      <c r="M237" s="92"/>
      <c r="N237" s="92"/>
      <c r="O237" s="93">
        <v>0</v>
      </c>
      <c r="P237" s="86"/>
      <c r="Q237" s="82">
        <f t="shared" si="14"/>
        <v>232</v>
      </c>
    </row>
    <row r="238" spans="1:17" ht="20.25" customHeight="1">
      <c r="A238" s="85"/>
      <c r="B238" s="102"/>
      <c r="C238" s="86"/>
      <c r="D238" s="87"/>
      <c r="E238" s="88" t="str">
        <f>IFERROR(VLOOKUP(D238,ProductMaster!$A:$B,2,FALSE),"")</f>
        <v/>
      </c>
      <c r="F238" s="88" t="str">
        <f>IFERROR(VLOOKUP(D238,ProductMaster!$A:$C,3,FALSE),"")</f>
        <v/>
      </c>
      <c r="G238" s="89" t="str">
        <f>IFERROR(VLOOKUP($D238,ProductMaster!$A:$O,4,FALSE),"")</f>
        <v/>
      </c>
      <c r="H238" s="90"/>
      <c r="I238" s="123">
        <f>IFERROR(VLOOKUP(E238,ProductMaster!B:G,6,FALSE),0)</f>
        <v>0</v>
      </c>
      <c r="J238" s="123">
        <f t="shared" si="13"/>
        <v>0</v>
      </c>
      <c r="K238" s="123">
        <f t="shared" si="15"/>
        <v>0</v>
      </c>
      <c r="L238" s="91"/>
      <c r="M238" s="92"/>
      <c r="N238" s="92"/>
      <c r="O238" s="93">
        <v>0</v>
      </c>
      <c r="P238" s="86"/>
      <c r="Q238" s="82">
        <f t="shared" si="14"/>
        <v>233</v>
      </c>
    </row>
    <row r="239" spans="1:17" ht="20.25" customHeight="1">
      <c r="A239" s="85"/>
      <c r="B239" s="102"/>
      <c r="C239" s="86"/>
      <c r="D239" s="87"/>
      <c r="E239" s="88" t="str">
        <f>IFERROR(VLOOKUP(D239,ProductMaster!$A:$B,2,FALSE),"")</f>
        <v/>
      </c>
      <c r="F239" s="88" t="str">
        <f>IFERROR(VLOOKUP(D239,ProductMaster!$A:$C,3,FALSE),"")</f>
        <v/>
      </c>
      <c r="G239" s="89" t="str">
        <f>IFERROR(VLOOKUP($D239,ProductMaster!$A:$O,4,FALSE),"")</f>
        <v/>
      </c>
      <c r="H239" s="90"/>
      <c r="I239" s="123">
        <f>IFERROR(VLOOKUP(E239,ProductMaster!B:G,6,FALSE),0)</f>
        <v>0</v>
      </c>
      <c r="J239" s="123">
        <f t="shared" si="13"/>
        <v>0</v>
      </c>
      <c r="K239" s="123">
        <f t="shared" si="15"/>
        <v>0</v>
      </c>
      <c r="L239" s="91"/>
      <c r="M239" s="92"/>
      <c r="N239" s="92"/>
      <c r="O239" s="93">
        <v>0</v>
      </c>
      <c r="P239" s="86"/>
      <c r="Q239" s="82">
        <f t="shared" si="14"/>
        <v>234</v>
      </c>
    </row>
    <row r="240" spans="1:17" ht="20.25" customHeight="1">
      <c r="A240" s="85"/>
      <c r="B240" s="102"/>
      <c r="C240" s="86"/>
      <c r="D240" s="87"/>
      <c r="E240" s="88" t="str">
        <f>IFERROR(VLOOKUP(D240,ProductMaster!$A:$B,2,FALSE),"")</f>
        <v/>
      </c>
      <c r="F240" s="88" t="str">
        <f>IFERROR(VLOOKUP(D240,ProductMaster!$A:$C,3,FALSE),"")</f>
        <v/>
      </c>
      <c r="G240" s="89" t="str">
        <f>IFERROR(VLOOKUP($D240,ProductMaster!$A:$O,4,FALSE),"")</f>
        <v/>
      </c>
      <c r="H240" s="90"/>
      <c r="I240" s="123">
        <f>IFERROR(VLOOKUP(E240,ProductMaster!B:G,6,FALSE),0)</f>
        <v>0</v>
      </c>
      <c r="J240" s="123">
        <f t="shared" si="13"/>
        <v>0</v>
      </c>
      <c r="K240" s="123">
        <f t="shared" si="15"/>
        <v>0</v>
      </c>
      <c r="L240" s="91"/>
      <c r="M240" s="92"/>
      <c r="N240" s="92"/>
      <c r="O240" s="93">
        <v>0</v>
      </c>
      <c r="P240" s="86"/>
      <c r="Q240" s="82">
        <f t="shared" si="14"/>
        <v>235</v>
      </c>
    </row>
    <row r="241" spans="1:17" ht="20.25" customHeight="1">
      <c r="A241" s="85"/>
      <c r="B241" s="102"/>
      <c r="C241" s="86"/>
      <c r="D241" s="87"/>
      <c r="E241" s="88" t="str">
        <f>IFERROR(VLOOKUP(D241,ProductMaster!$A:$B,2,FALSE),"")</f>
        <v/>
      </c>
      <c r="F241" s="88" t="str">
        <f>IFERROR(VLOOKUP(D241,ProductMaster!$A:$C,3,FALSE),"")</f>
        <v/>
      </c>
      <c r="G241" s="89" t="str">
        <f>IFERROR(VLOOKUP($D241,ProductMaster!$A:$O,4,FALSE),"")</f>
        <v/>
      </c>
      <c r="H241" s="90"/>
      <c r="I241" s="123">
        <f>IFERROR(VLOOKUP(E241,ProductMaster!B:G,6,FALSE),0)</f>
        <v>0</v>
      </c>
      <c r="J241" s="123">
        <f t="shared" si="13"/>
        <v>0</v>
      </c>
      <c r="K241" s="123">
        <f t="shared" si="15"/>
        <v>0</v>
      </c>
      <c r="L241" s="91"/>
      <c r="M241" s="92"/>
      <c r="N241" s="92"/>
      <c r="O241" s="93">
        <v>0</v>
      </c>
      <c r="P241" s="86"/>
      <c r="Q241" s="82">
        <f t="shared" si="14"/>
        <v>236</v>
      </c>
    </row>
    <row r="242" spans="1:17" ht="20.25" customHeight="1">
      <c r="A242" s="85"/>
      <c r="B242" s="102"/>
      <c r="C242" s="86"/>
      <c r="D242" s="87"/>
      <c r="E242" s="88" t="str">
        <f>IFERROR(VLOOKUP(D242,ProductMaster!$A:$B,2,FALSE),"")</f>
        <v/>
      </c>
      <c r="F242" s="88" t="str">
        <f>IFERROR(VLOOKUP(D242,ProductMaster!$A:$C,3,FALSE),"")</f>
        <v/>
      </c>
      <c r="G242" s="89" t="str">
        <f>IFERROR(VLOOKUP($D242,ProductMaster!$A:$O,4,FALSE),"")</f>
        <v/>
      </c>
      <c r="H242" s="90"/>
      <c r="I242" s="123">
        <f>IFERROR(VLOOKUP(E242,ProductMaster!B:G,6,FALSE),0)</f>
        <v>0</v>
      </c>
      <c r="J242" s="123">
        <f t="shared" si="13"/>
        <v>0</v>
      </c>
      <c r="K242" s="123">
        <f t="shared" si="15"/>
        <v>0</v>
      </c>
      <c r="L242" s="91"/>
      <c r="M242" s="92"/>
      <c r="N242" s="92"/>
      <c r="O242" s="93">
        <v>0</v>
      </c>
      <c r="P242" s="86"/>
      <c r="Q242" s="82">
        <f t="shared" si="14"/>
        <v>237</v>
      </c>
    </row>
    <row r="243" spans="1:17" ht="20.25" customHeight="1">
      <c r="A243" s="85"/>
      <c r="B243" s="102"/>
      <c r="C243" s="86"/>
      <c r="D243" s="87"/>
      <c r="E243" s="88" t="str">
        <f>IFERROR(VLOOKUP(D243,ProductMaster!$A:$B,2,FALSE),"")</f>
        <v/>
      </c>
      <c r="F243" s="88" t="str">
        <f>IFERROR(VLOOKUP(D243,ProductMaster!$A:$C,3,FALSE),"")</f>
        <v/>
      </c>
      <c r="G243" s="89" t="str">
        <f>IFERROR(VLOOKUP($D243,ProductMaster!$A:$O,4,FALSE),"")</f>
        <v/>
      </c>
      <c r="H243" s="90"/>
      <c r="I243" s="123">
        <f>IFERROR(VLOOKUP(E243,ProductMaster!B:G,6,FALSE),0)</f>
        <v>0</v>
      </c>
      <c r="J243" s="123">
        <f t="shared" si="13"/>
        <v>0</v>
      </c>
      <c r="K243" s="123">
        <f t="shared" si="15"/>
        <v>0</v>
      </c>
      <c r="L243" s="91"/>
      <c r="M243" s="92"/>
      <c r="N243" s="92"/>
      <c r="O243" s="93">
        <v>0</v>
      </c>
      <c r="P243" s="86"/>
      <c r="Q243" s="82">
        <f t="shared" si="14"/>
        <v>238</v>
      </c>
    </row>
    <row r="244" spans="1:17" ht="20.25" customHeight="1">
      <c r="A244" s="85"/>
      <c r="B244" s="102"/>
      <c r="C244" s="86"/>
      <c r="D244" s="87"/>
      <c r="E244" s="88" t="str">
        <f>IFERROR(VLOOKUP(D244,ProductMaster!$A:$B,2,FALSE),"")</f>
        <v/>
      </c>
      <c r="F244" s="88" t="str">
        <f>IFERROR(VLOOKUP(D244,ProductMaster!$A:$C,3,FALSE),"")</f>
        <v/>
      </c>
      <c r="G244" s="89" t="str">
        <f>IFERROR(VLOOKUP($D244,ProductMaster!$A:$O,4,FALSE),"")</f>
        <v/>
      </c>
      <c r="H244" s="90"/>
      <c r="I244" s="123">
        <f>IFERROR(VLOOKUP(E244,ProductMaster!B:G,6,FALSE),0)</f>
        <v>0</v>
      </c>
      <c r="J244" s="123">
        <f t="shared" si="13"/>
        <v>0</v>
      </c>
      <c r="K244" s="123">
        <f t="shared" si="15"/>
        <v>0</v>
      </c>
      <c r="L244" s="91"/>
      <c r="M244" s="92"/>
      <c r="N244" s="92"/>
      <c r="O244" s="93">
        <v>0</v>
      </c>
      <c r="P244" s="86"/>
      <c r="Q244" s="82">
        <f t="shared" si="14"/>
        <v>239</v>
      </c>
    </row>
    <row r="245" spans="1:17" ht="20.25" customHeight="1">
      <c r="A245" s="85"/>
      <c r="B245" s="102"/>
      <c r="C245" s="86"/>
      <c r="D245" s="87"/>
      <c r="E245" s="88" t="str">
        <f>IFERROR(VLOOKUP(D245,ProductMaster!$A:$B,2,FALSE),"")</f>
        <v/>
      </c>
      <c r="F245" s="88" t="str">
        <f>IFERROR(VLOOKUP(D245,ProductMaster!$A:$C,3,FALSE),"")</f>
        <v/>
      </c>
      <c r="G245" s="89" t="str">
        <f>IFERROR(VLOOKUP($D245,ProductMaster!$A:$O,4,FALSE),"")</f>
        <v/>
      </c>
      <c r="H245" s="90"/>
      <c r="I245" s="123">
        <f>IFERROR(VLOOKUP(E245,ProductMaster!B:G,6,FALSE),0)</f>
        <v>0</v>
      </c>
      <c r="J245" s="123">
        <f t="shared" si="13"/>
        <v>0</v>
      </c>
      <c r="K245" s="123">
        <f t="shared" si="15"/>
        <v>0</v>
      </c>
      <c r="L245" s="91"/>
      <c r="M245" s="92"/>
      <c r="N245" s="92"/>
      <c r="O245" s="93">
        <v>0</v>
      </c>
      <c r="P245" s="86"/>
      <c r="Q245" s="82">
        <f t="shared" si="14"/>
        <v>240</v>
      </c>
    </row>
    <row r="246" spans="1:17" ht="20.25" customHeight="1">
      <c r="A246" s="85"/>
      <c r="B246" s="102"/>
      <c r="C246" s="86"/>
      <c r="D246" s="87"/>
      <c r="E246" s="88" t="str">
        <f>IFERROR(VLOOKUP(D246,ProductMaster!$A:$B,2,FALSE),"")</f>
        <v/>
      </c>
      <c r="F246" s="88" t="str">
        <f>IFERROR(VLOOKUP(D246,ProductMaster!$A:$C,3,FALSE),"")</f>
        <v/>
      </c>
      <c r="G246" s="89" t="str">
        <f>IFERROR(VLOOKUP($D246,ProductMaster!$A:$O,4,FALSE),"")</f>
        <v/>
      </c>
      <c r="H246" s="90"/>
      <c r="I246" s="123">
        <f>IFERROR(VLOOKUP(E246,ProductMaster!B:G,6,FALSE),0)</f>
        <v>0</v>
      </c>
      <c r="J246" s="123">
        <f t="shared" si="13"/>
        <v>0</v>
      </c>
      <c r="K246" s="123">
        <f t="shared" si="15"/>
        <v>0</v>
      </c>
      <c r="L246" s="91"/>
      <c r="M246" s="92"/>
      <c r="N246" s="92"/>
      <c r="O246" s="93">
        <v>0</v>
      </c>
      <c r="P246" s="86"/>
      <c r="Q246" s="82">
        <f t="shared" si="14"/>
        <v>241</v>
      </c>
    </row>
    <row r="247" spans="1:17" ht="20.25" customHeight="1">
      <c r="A247" s="85"/>
      <c r="B247" s="102"/>
      <c r="C247" s="86"/>
      <c r="D247" s="87"/>
      <c r="E247" s="88" t="str">
        <f>IFERROR(VLOOKUP(D247,ProductMaster!$A:$B,2,FALSE),"")</f>
        <v/>
      </c>
      <c r="F247" s="88" t="str">
        <f>IFERROR(VLOOKUP(D247,ProductMaster!$A:$C,3,FALSE),"")</f>
        <v/>
      </c>
      <c r="G247" s="89" t="str">
        <f>IFERROR(VLOOKUP($D247,ProductMaster!$A:$O,4,FALSE),"")</f>
        <v/>
      </c>
      <c r="H247" s="90"/>
      <c r="I247" s="123">
        <f>IFERROR(VLOOKUP(E247,ProductMaster!B:G,6,FALSE),0)</f>
        <v>0</v>
      </c>
      <c r="J247" s="123">
        <f t="shared" si="13"/>
        <v>0</v>
      </c>
      <c r="K247" s="123">
        <f t="shared" si="15"/>
        <v>0</v>
      </c>
      <c r="L247" s="91"/>
      <c r="M247" s="92"/>
      <c r="N247" s="92"/>
      <c r="O247" s="93">
        <v>0</v>
      </c>
      <c r="P247" s="86"/>
      <c r="Q247" s="82">
        <f t="shared" si="14"/>
        <v>242</v>
      </c>
    </row>
    <row r="248" spans="1:17" ht="20.25" customHeight="1">
      <c r="A248" s="85"/>
      <c r="B248" s="102"/>
      <c r="C248" s="86"/>
      <c r="D248" s="87"/>
      <c r="E248" s="88" t="str">
        <f>IFERROR(VLOOKUP(D248,ProductMaster!$A:$B,2,FALSE),"")</f>
        <v/>
      </c>
      <c r="F248" s="88" t="str">
        <f>IFERROR(VLOOKUP(D248,ProductMaster!$A:$C,3,FALSE),"")</f>
        <v/>
      </c>
      <c r="G248" s="89" t="str">
        <f>IFERROR(VLOOKUP($D248,ProductMaster!$A:$O,4,FALSE),"")</f>
        <v/>
      </c>
      <c r="H248" s="90"/>
      <c r="I248" s="123">
        <f>IFERROR(VLOOKUP(E248,ProductMaster!B:G,6,FALSE),0)</f>
        <v>0</v>
      </c>
      <c r="J248" s="123">
        <f t="shared" si="13"/>
        <v>0</v>
      </c>
      <c r="K248" s="123">
        <f t="shared" si="15"/>
        <v>0</v>
      </c>
      <c r="L248" s="91"/>
      <c r="M248" s="92"/>
      <c r="N248" s="92"/>
      <c r="O248" s="93">
        <v>0</v>
      </c>
      <c r="P248" s="86"/>
      <c r="Q248" s="82">
        <f t="shared" si="14"/>
        <v>243</v>
      </c>
    </row>
    <row r="249" spans="1:17" ht="20.25" customHeight="1">
      <c r="A249" s="85"/>
      <c r="B249" s="102"/>
      <c r="C249" s="86"/>
      <c r="D249" s="87"/>
      <c r="E249" s="88" t="str">
        <f>IFERROR(VLOOKUP(D249,ProductMaster!$A:$B,2,FALSE),"")</f>
        <v/>
      </c>
      <c r="F249" s="88" t="str">
        <f>IFERROR(VLOOKUP(D249,ProductMaster!$A:$C,3,FALSE),"")</f>
        <v/>
      </c>
      <c r="G249" s="89" t="str">
        <f>IFERROR(VLOOKUP($D249,ProductMaster!$A:$O,4,FALSE),"")</f>
        <v/>
      </c>
      <c r="H249" s="90"/>
      <c r="I249" s="123">
        <f>IFERROR(VLOOKUP(E249,ProductMaster!B:G,6,FALSE),0)</f>
        <v>0</v>
      </c>
      <c r="J249" s="123">
        <f t="shared" si="13"/>
        <v>0</v>
      </c>
      <c r="K249" s="123">
        <f t="shared" si="15"/>
        <v>0</v>
      </c>
      <c r="L249" s="91"/>
      <c r="M249" s="92"/>
      <c r="N249" s="92"/>
      <c r="O249" s="93">
        <v>0</v>
      </c>
      <c r="P249" s="86"/>
      <c r="Q249" s="82">
        <f t="shared" si="14"/>
        <v>244</v>
      </c>
    </row>
    <row r="250" spans="1:17" ht="20.25" customHeight="1">
      <c r="A250" s="85"/>
      <c r="B250" s="102"/>
      <c r="C250" s="86"/>
      <c r="D250" s="87"/>
      <c r="E250" s="88" t="str">
        <f>IFERROR(VLOOKUP(D250,ProductMaster!$A:$B,2,FALSE),"")</f>
        <v/>
      </c>
      <c r="F250" s="88" t="str">
        <f>IFERROR(VLOOKUP(D250,ProductMaster!$A:$C,3,FALSE),"")</f>
        <v/>
      </c>
      <c r="G250" s="89" t="str">
        <f>IFERROR(VLOOKUP($D250,ProductMaster!$A:$O,4,FALSE),"")</f>
        <v/>
      </c>
      <c r="H250" s="90"/>
      <c r="I250" s="123">
        <f>IFERROR(VLOOKUP(E250,ProductMaster!B:G,6,FALSE),0)</f>
        <v>0</v>
      </c>
      <c r="J250" s="123">
        <f t="shared" si="13"/>
        <v>0</v>
      </c>
      <c r="K250" s="123">
        <f t="shared" si="15"/>
        <v>0</v>
      </c>
      <c r="L250" s="91"/>
      <c r="M250" s="92"/>
      <c r="N250" s="92"/>
      <c r="O250" s="93">
        <v>0</v>
      </c>
      <c r="P250" s="86"/>
      <c r="Q250" s="82">
        <f t="shared" si="14"/>
        <v>245</v>
      </c>
    </row>
    <row r="251" spans="1:17" ht="20.25" customHeight="1">
      <c r="A251" s="85"/>
      <c r="B251" s="102"/>
      <c r="C251" s="86"/>
      <c r="D251" s="87"/>
      <c r="E251" s="88" t="str">
        <f>IFERROR(VLOOKUP(D251,ProductMaster!$A:$B,2,FALSE),"")</f>
        <v/>
      </c>
      <c r="F251" s="88" t="str">
        <f>IFERROR(VLOOKUP(D251,ProductMaster!$A:$C,3,FALSE),"")</f>
        <v/>
      </c>
      <c r="G251" s="89" t="str">
        <f>IFERROR(VLOOKUP($D251,ProductMaster!$A:$O,4,FALSE),"")</f>
        <v/>
      </c>
      <c r="H251" s="90"/>
      <c r="I251" s="123">
        <f>IFERROR(VLOOKUP(E251,ProductMaster!B:G,6,FALSE),0)</f>
        <v>0</v>
      </c>
      <c r="J251" s="123">
        <f t="shared" si="13"/>
        <v>0</v>
      </c>
      <c r="K251" s="123">
        <f t="shared" si="15"/>
        <v>0</v>
      </c>
      <c r="L251" s="91"/>
      <c r="M251" s="92"/>
      <c r="N251" s="92"/>
      <c r="O251" s="93">
        <v>0</v>
      </c>
      <c r="P251" s="86"/>
      <c r="Q251" s="82">
        <f t="shared" si="14"/>
        <v>246</v>
      </c>
    </row>
    <row r="252" spans="1:17" ht="20.25" customHeight="1">
      <c r="A252" s="85"/>
      <c r="B252" s="102"/>
      <c r="C252" s="86"/>
      <c r="D252" s="87"/>
      <c r="E252" s="88" t="str">
        <f>IFERROR(VLOOKUP(D252,ProductMaster!$A:$B,2,FALSE),"")</f>
        <v/>
      </c>
      <c r="F252" s="88" t="str">
        <f>IFERROR(VLOOKUP(D252,ProductMaster!$A:$C,3,FALSE),"")</f>
        <v/>
      </c>
      <c r="G252" s="89" t="str">
        <f>IFERROR(VLOOKUP($D252,ProductMaster!$A:$O,4,FALSE),"")</f>
        <v/>
      </c>
      <c r="H252" s="90"/>
      <c r="I252" s="123">
        <f>IFERROR(VLOOKUP(E252,ProductMaster!B:G,6,FALSE),0)</f>
        <v>0</v>
      </c>
      <c r="J252" s="123">
        <f t="shared" si="13"/>
        <v>0</v>
      </c>
      <c r="K252" s="123">
        <f t="shared" si="15"/>
        <v>0</v>
      </c>
      <c r="L252" s="91"/>
      <c r="M252" s="92"/>
      <c r="N252" s="92"/>
      <c r="O252" s="93">
        <v>0</v>
      </c>
      <c r="P252" s="86"/>
      <c r="Q252" s="82">
        <f t="shared" si="14"/>
        <v>247</v>
      </c>
    </row>
    <row r="253" spans="1:17" ht="20.25" customHeight="1">
      <c r="A253" s="85"/>
      <c r="B253" s="102"/>
      <c r="C253" s="86"/>
      <c r="D253" s="87"/>
      <c r="E253" s="88" t="str">
        <f>IFERROR(VLOOKUP(D253,ProductMaster!$A:$B,2,FALSE),"")</f>
        <v/>
      </c>
      <c r="F253" s="88" t="str">
        <f>IFERROR(VLOOKUP(D253,ProductMaster!$A:$C,3,FALSE),"")</f>
        <v/>
      </c>
      <c r="G253" s="89" t="str">
        <f>IFERROR(VLOOKUP($D253,ProductMaster!$A:$O,4,FALSE),"")</f>
        <v/>
      </c>
      <c r="H253" s="90"/>
      <c r="I253" s="123">
        <f>IFERROR(VLOOKUP(E253,ProductMaster!B:G,6,FALSE),0)</f>
        <v>0</v>
      </c>
      <c r="J253" s="123">
        <f t="shared" si="13"/>
        <v>0</v>
      </c>
      <c r="K253" s="123">
        <f t="shared" si="15"/>
        <v>0</v>
      </c>
      <c r="L253" s="91"/>
      <c r="M253" s="92"/>
      <c r="N253" s="92"/>
      <c r="O253" s="93">
        <v>0</v>
      </c>
      <c r="P253" s="86"/>
      <c r="Q253" s="82">
        <f t="shared" si="14"/>
        <v>248</v>
      </c>
    </row>
    <row r="254" spans="1:17" ht="20.25" customHeight="1">
      <c r="A254" s="85"/>
      <c r="B254" s="102"/>
      <c r="C254" s="86"/>
      <c r="D254" s="87"/>
      <c r="E254" s="88" t="str">
        <f>IFERROR(VLOOKUP(D254,ProductMaster!$A:$B,2,FALSE),"")</f>
        <v/>
      </c>
      <c r="F254" s="88" t="str">
        <f>IFERROR(VLOOKUP(D254,ProductMaster!$A:$C,3,FALSE),"")</f>
        <v/>
      </c>
      <c r="G254" s="89" t="str">
        <f>IFERROR(VLOOKUP($D254,ProductMaster!$A:$O,4,FALSE),"")</f>
        <v/>
      </c>
      <c r="H254" s="90"/>
      <c r="I254" s="123">
        <f>IFERROR(VLOOKUP(E254,ProductMaster!B:G,6,FALSE),0)</f>
        <v>0</v>
      </c>
      <c r="J254" s="123">
        <f t="shared" si="13"/>
        <v>0</v>
      </c>
      <c r="K254" s="123">
        <f t="shared" si="15"/>
        <v>0</v>
      </c>
      <c r="L254" s="91"/>
      <c r="M254" s="92"/>
      <c r="N254" s="92"/>
      <c r="O254" s="93">
        <v>0</v>
      </c>
      <c r="P254" s="86"/>
      <c r="Q254" s="82">
        <f t="shared" si="14"/>
        <v>249</v>
      </c>
    </row>
    <row r="255" spans="1:17" ht="20.25" customHeight="1">
      <c r="A255" s="85"/>
      <c r="B255" s="102"/>
      <c r="C255" s="86"/>
      <c r="D255" s="87"/>
      <c r="E255" s="88" t="str">
        <f>IFERROR(VLOOKUP(D255,ProductMaster!$A:$B,2,FALSE),"")</f>
        <v/>
      </c>
      <c r="F255" s="88" t="str">
        <f>IFERROR(VLOOKUP(D255,ProductMaster!$A:$C,3,FALSE),"")</f>
        <v/>
      </c>
      <c r="G255" s="89" t="str">
        <f>IFERROR(VLOOKUP($D255,ProductMaster!$A:$O,4,FALSE),"")</f>
        <v/>
      </c>
      <c r="H255" s="90"/>
      <c r="I255" s="123">
        <f>IFERROR(VLOOKUP(E255,ProductMaster!B:G,6,FALSE),0)</f>
        <v>0</v>
      </c>
      <c r="J255" s="123">
        <f t="shared" si="13"/>
        <v>0</v>
      </c>
      <c r="K255" s="123">
        <f t="shared" si="15"/>
        <v>0</v>
      </c>
      <c r="L255" s="91"/>
      <c r="M255" s="92"/>
      <c r="N255" s="92"/>
      <c r="O255" s="93">
        <v>0</v>
      </c>
      <c r="P255" s="86"/>
      <c r="Q255" s="82">
        <f t="shared" si="14"/>
        <v>250</v>
      </c>
    </row>
    <row r="256" spans="1:17" ht="20.25" customHeight="1">
      <c r="A256" s="85"/>
      <c r="B256" s="102"/>
      <c r="C256" s="86"/>
      <c r="D256" s="87"/>
      <c r="E256" s="88" t="str">
        <f>IFERROR(VLOOKUP(D256,ProductMaster!$A:$B,2,FALSE),"")</f>
        <v/>
      </c>
      <c r="F256" s="88" t="str">
        <f>IFERROR(VLOOKUP(D256,ProductMaster!$A:$C,3,FALSE),"")</f>
        <v/>
      </c>
      <c r="G256" s="89" t="str">
        <f>IFERROR(VLOOKUP($D256,ProductMaster!$A:$O,4,FALSE),"")</f>
        <v/>
      </c>
      <c r="H256" s="90"/>
      <c r="I256" s="123">
        <f>IFERROR(VLOOKUP(E256,ProductMaster!B:G,6,FALSE),0)</f>
        <v>0</v>
      </c>
      <c r="J256" s="123">
        <f t="shared" si="13"/>
        <v>0</v>
      </c>
      <c r="K256" s="123">
        <f t="shared" si="15"/>
        <v>0</v>
      </c>
      <c r="L256" s="91"/>
      <c r="M256" s="92"/>
      <c r="N256" s="92"/>
      <c r="O256" s="93">
        <v>0</v>
      </c>
      <c r="P256" s="86"/>
      <c r="Q256" s="82">
        <f t="shared" si="14"/>
        <v>251</v>
      </c>
    </row>
    <row r="257" spans="1:17" ht="20.25" customHeight="1">
      <c r="A257" s="85"/>
      <c r="B257" s="102"/>
      <c r="C257" s="86"/>
      <c r="D257" s="87"/>
      <c r="E257" s="88" t="str">
        <f>IFERROR(VLOOKUP(D257,ProductMaster!$A:$B,2,FALSE),"")</f>
        <v/>
      </c>
      <c r="F257" s="88" t="str">
        <f>IFERROR(VLOOKUP(D257,ProductMaster!$A:$C,3,FALSE),"")</f>
        <v/>
      </c>
      <c r="G257" s="89" t="str">
        <f>IFERROR(VLOOKUP($D257,ProductMaster!$A:$O,4,FALSE),"")</f>
        <v/>
      </c>
      <c r="H257" s="90"/>
      <c r="I257" s="123">
        <f>IFERROR(VLOOKUP(E257,ProductMaster!B:G,6,FALSE),0)</f>
        <v>0</v>
      </c>
      <c r="J257" s="123">
        <f t="shared" si="13"/>
        <v>0</v>
      </c>
      <c r="K257" s="123">
        <f t="shared" si="15"/>
        <v>0</v>
      </c>
      <c r="L257" s="91"/>
      <c r="M257" s="92"/>
      <c r="N257" s="92"/>
      <c r="O257" s="93">
        <v>0</v>
      </c>
      <c r="P257" s="86"/>
      <c r="Q257" s="82">
        <f t="shared" si="14"/>
        <v>252</v>
      </c>
    </row>
    <row r="258" spans="1:17" ht="20.25" customHeight="1">
      <c r="A258" s="85"/>
      <c r="B258" s="102"/>
      <c r="C258" s="86"/>
      <c r="D258" s="87"/>
      <c r="E258" s="88" t="str">
        <f>IFERROR(VLOOKUP(D258,ProductMaster!$A:$B,2,FALSE),"")</f>
        <v/>
      </c>
      <c r="F258" s="88" t="str">
        <f>IFERROR(VLOOKUP(D258,ProductMaster!$A:$C,3,FALSE),"")</f>
        <v/>
      </c>
      <c r="G258" s="89" t="str">
        <f>IFERROR(VLOOKUP($D258,ProductMaster!$A:$O,4,FALSE),"")</f>
        <v/>
      </c>
      <c r="H258" s="90"/>
      <c r="I258" s="123">
        <f>IFERROR(VLOOKUP(E258,ProductMaster!B:G,6,FALSE),0)</f>
        <v>0</v>
      </c>
      <c r="J258" s="123">
        <f t="shared" si="13"/>
        <v>0</v>
      </c>
      <c r="K258" s="123">
        <f t="shared" si="15"/>
        <v>0</v>
      </c>
      <c r="L258" s="91"/>
      <c r="M258" s="92"/>
      <c r="N258" s="92"/>
      <c r="O258" s="93">
        <v>0</v>
      </c>
      <c r="P258" s="86"/>
      <c r="Q258" s="82">
        <f t="shared" si="14"/>
        <v>253</v>
      </c>
    </row>
    <row r="259" spans="1:17" ht="20.25" customHeight="1">
      <c r="A259" s="85"/>
      <c r="B259" s="102"/>
      <c r="C259" s="86"/>
      <c r="D259" s="87"/>
      <c r="E259" s="88" t="str">
        <f>IFERROR(VLOOKUP(D259,ProductMaster!$A:$B,2,FALSE),"")</f>
        <v/>
      </c>
      <c r="F259" s="88" t="str">
        <f>IFERROR(VLOOKUP(D259,ProductMaster!$A:$C,3,FALSE),"")</f>
        <v/>
      </c>
      <c r="G259" s="89" t="str">
        <f>IFERROR(VLOOKUP($D259,ProductMaster!$A:$O,4,FALSE),"")</f>
        <v/>
      </c>
      <c r="H259" s="90"/>
      <c r="I259" s="123">
        <f>IFERROR(VLOOKUP(E259,ProductMaster!B:G,6,FALSE),0)</f>
        <v>0</v>
      </c>
      <c r="J259" s="123">
        <f t="shared" ref="J259:J322" si="16">ROUND(SUM(I259*7%),2)</f>
        <v>0</v>
      </c>
      <c r="K259" s="123">
        <f t="shared" si="15"/>
        <v>0</v>
      </c>
      <c r="L259" s="91"/>
      <c r="M259" s="92"/>
      <c r="N259" s="92"/>
      <c r="O259" s="93">
        <v>0</v>
      </c>
      <c r="P259" s="86"/>
      <c r="Q259" s="82">
        <f t="shared" ref="Q259:Q322" si="17">IF(B259=B258,Q258+1,1)</f>
        <v>254</v>
      </c>
    </row>
    <row r="260" spans="1:17" ht="20.25" customHeight="1">
      <c r="A260" s="85"/>
      <c r="B260" s="102"/>
      <c r="C260" s="86"/>
      <c r="D260" s="87"/>
      <c r="E260" s="88" t="str">
        <f>IFERROR(VLOOKUP(D260,ProductMaster!$A:$B,2,FALSE),"")</f>
        <v/>
      </c>
      <c r="F260" s="88" t="str">
        <f>IFERROR(VLOOKUP(D260,ProductMaster!$A:$C,3,FALSE),"")</f>
        <v/>
      </c>
      <c r="G260" s="89" t="str">
        <f>IFERROR(VLOOKUP($D260,ProductMaster!$A:$O,4,FALSE),"")</f>
        <v/>
      </c>
      <c r="H260" s="90"/>
      <c r="I260" s="123">
        <f>IFERROR(VLOOKUP(E260,ProductMaster!B:G,6,FALSE),0)</f>
        <v>0</v>
      </c>
      <c r="J260" s="123">
        <f t="shared" si="16"/>
        <v>0</v>
      </c>
      <c r="K260" s="123">
        <f t="shared" si="15"/>
        <v>0</v>
      </c>
      <c r="L260" s="91"/>
      <c r="M260" s="92"/>
      <c r="N260" s="92"/>
      <c r="O260" s="93">
        <v>0</v>
      </c>
      <c r="P260" s="86"/>
      <c r="Q260" s="82">
        <f t="shared" si="17"/>
        <v>255</v>
      </c>
    </row>
    <row r="261" spans="1:17" ht="20.25" customHeight="1">
      <c r="A261" s="85"/>
      <c r="B261" s="102"/>
      <c r="C261" s="86"/>
      <c r="D261" s="87"/>
      <c r="E261" s="88" t="str">
        <f>IFERROR(VLOOKUP(D261,ProductMaster!$A:$B,2,FALSE),"")</f>
        <v/>
      </c>
      <c r="F261" s="88" t="str">
        <f>IFERROR(VLOOKUP(D261,ProductMaster!$A:$C,3,FALSE),"")</f>
        <v/>
      </c>
      <c r="G261" s="89" t="str">
        <f>IFERROR(VLOOKUP($D261,ProductMaster!$A:$O,4,FALSE),"")</f>
        <v/>
      </c>
      <c r="H261" s="90"/>
      <c r="I261" s="123">
        <f>IFERROR(VLOOKUP(E261,ProductMaster!B:G,6,FALSE),0)</f>
        <v>0</v>
      </c>
      <c r="J261" s="123">
        <f t="shared" si="16"/>
        <v>0</v>
      </c>
      <c r="K261" s="123">
        <f t="shared" si="15"/>
        <v>0</v>
      </c>
      <c r="L261" s="91"/>
      <c r="M261" s="92"/>
      <c r="N261" s="92"/>
      <c r="O261" s="93">
        <v>0</v>
      </c>
      <c r="P261" s="86"/>
      <c r="Q261" s="82">
        <f t="shared" si="17"/>
        <v>256</v>
      </c>
    </row>
    <row r="262" spans="1:17" ht="20.25" customHeight="1">
      <c r="A262" s="85"/>
      <c r="B262" s="102"/>
      <c r="C262" s="86"/>
      <c r="D262" s="87"/>
      <c r="E262" s="88" t="str">
        <f>IFERROR(VLOOKUP(D262,ProductMaster!$A:$B,2,FALSE),"")</f>
        <v/>
      </c>
      <c r="F262" s="88" t="str">
        <f>IFERROR(VLOOKUP(D262,ProductMaster!$A:$C,3,FALSE),"")</f>
        <v/>
      </c>
      <c r="G262" s="89" t="str">
        <f>IFERROR(VLOOKUP($D262,ProductMaster!$A:$O,4,FALSE),"")</f>
        <v/>
      </c>
      <c r="H262" s="90"/>
      <c r="I262" s="123">
        <f>IFERROR(VLOOKUP(E262,ProductMaster!B:G,6,FALSE),0)</f>
        <v>0</v>
      </c>
      <c r="J262" s="123">
        <f t="shared" si="16"/>
        <v>0</v>
      </c>
      <c r="K262" s="123">
        <f t="shared" si="15"/>
        <v>0</v>
      </c>
      <c r="L262" s="91"/>
      <c r="M262" s="92"/>
      <c r="N262" s="92"/>
      <c r="O262" s="93">
        <v>0</v>
      </c>
      <c r="P262" s="86"/>
      <c r="Q262" s="82">
        <f t="shared" si="17"/>
        <v>257</v>
      </c>
    </row>
    <row r="263" spans="1:17" ht="20.25" customHeight="1">
      <c r="A263" s="85"/>
      <c r="B263" s="102"/>
      <c r="C263" s="86"/>
      <c r="D263" s="87"/>
      <c r="E263" s="88" t="str">
        <f>IFERROR(VLOOKUP(D263,ProductMaster!$A:$B,2,FALSE),"")</f>
        <v/>
      </c>
      <c r="F263" s="88" t="str">
        <f>IFERROR(VLOOKUP(D263,ProductMaster!$A:$C,3,FALSE),"")</f>
        <v/>
      </c>
      <c r="G263" s="89" t="str">
        <f>IFERROR(VLOOKUP($D263,ProductMaster!$A:$O,4,FALSE),"")</f>
        <v/>
      </c>
      <c r="H263" s="90"/>
      <c r="I263" s="123">
        <f>IFERROR(VLOOKUP(E263,ProductMaster!B:G,6,FALSE),0)</f>
        <v>0</v>
      </c>
      <c r="J263" s="123">
        <f t="shared" si="16"/>
        <v>0</v>
      </c>
      <c r="K263" s="123">
        <f t="shared" si="15"/>
        <v>0</v>
      </c>
      <c r="L263" s="91"/>
      <c r="M263" s="92"/>
      <c r="N263" s="92"/>
      <c r="O263" s="93">
        <v>0</v>
      </c>
      <c r="P263" s="86"/>
      <c r="Q263" s="82">
        <f t="shared" si="17"/>
        <v>258</v>
      </c>
    </row>
    <row r="264" spans="1:17" ht="20.25" customHeight="1">
      <c r="A264" s="85"/>
      <c r="B264" s="102"/>
      <c r="C264" s="86"/>
      <c r="D264" s="87"/>
      <c r="E264" s="88" t="str">
        <f>IFERROR(VLOOKUP(D264,ProductMaster!$A:$B,2,FALSE),"")</f>
        <v/>
      </c>
      <c r="F264" s="88" t="str">
        <f>IFERROR(VLOOKUP(D264,ProductMaster!$A:$C,3,FALSE),"")</f>
        <v/>
      </c>
      <c r="G264" s="89" t="str">
        <f>IFERROR(VLOOKUP($D264,ProductMaster!$A:$O,4,FALSE),"")</f>
        <v/>
      </c>
      <c r="H264" s="90"/>
      <c r="I264" s="123">
        <f>IFERROR(VLOOKUP(E264,ProductMaster!B:G,6,FALSE),0)</f>
        <v>0</v>
      </c>
      <c r="J264" s="123">
        <f t="shared" si="16"/>
        <v>0</v>
      </c>
      <c r="K264" s="123">
        <f t="shared" si="15"/>
        <v>0</v>
      </c>
      <c r="L264" s="91"/>
      <c r="M264" s="92"/>
      <c r="N264" s="92"/>
      <c r="O264" s="93">
        <v>0</v>
      </c>
      <c r="P264" s="86"/>
      <c r="Q264" s="82">
        <f t="shared" si="17"/>
        <v>259</v>
      </c>
    </row>
    <row r="265" spans="1:17" ht="20.25" customHeight="1">
      <c r="A265" s="85"/>
      <c r="B265" s="102"/>
      <c r="C265" s="86"/>
      <c r="D265" s="87"/>
      <c r="E265" s="88" t="str">
        <f>IFERROR(VLOOKUP(D265,ProductMaster!$A:$B,2,FALSE),"")</f>
        <v/>
      </c>
      <c r="F265" s="88" t="str">
        <f>IFERROR(VLOOKUP(D265,ProductMaster!$A:$C,3,FALSE),"")</f>
        <v/>
      </c>
      <c r="G265" s="89" t="str">
        <f>IFERROR(VLOOKUP($D265,ProductMaster!$A:$O,4,FALSE),"")</f>
        <v/>
      </c>
      <c r="H265" s="90"/>
      <c r="I265" s="123">
        <f>IFERROR(VLOOKUP(E265,ProductMaster!B:G,6,FALSE),0)</f>
        <v>0</v>
      </c>
      <c r="J265" s="123">
        <f t="shared" si="16"/>
        <v>0</v>
      </c>
      <c r="K265" s="123">
        <f t="shared" si="15"/>
        <v>0</v>
      </c>
      <c r="L265" s="91"/>
      <c r="M265" s="92"/>
      <c r="N265" s="92"/>
      <c r="O265" s="93">
        <v>0</v>
      </c>
      <c r="P265" s="86"/>
      <c r="Q265" s="82">
        <f t="shared" si="17"/>
        <v>260</v>
      </c>
    </row>
    <row r="266" spans="1:17" ht="20.25" customHeight="1">
      <c r="A266" s="85"/>
      <c r="B266" s="102"/>
      <c r="C266" s="86"/>
      <c r="D266" s="87"/>
      <c r="E266" s="88" t="str">
        <f>IFERROR(VLOOKUP(D266,ProductMaster!$A:$B,2,FALSE),"")</f>
        <v/>
      </c>
      <c r="F266" s="88" t="str">
        <f>IFERROR(VLOOKUP(D266,ProductMaster!$A:$C,3,FALSE),"")</f>
        <v/>
      </c>
      <c r="G266" s="89" t="str">
        <f>IFERROR(VLOOKUP($D266,ProductMaster!$A:$O,4,FALSE),"")</f>
        <v/>
      </c>
      <c r="H266" s="90"/>
      <c r="I266" s="123">
        <f>IFERROR(VLOOKUP(E266,ProductMaster!B:G,6,FALSE),0)</f>
        <v>0</v>
      </c>
      <c r="J266" s="123">
        <f t="shared" si="16"/>
        <v>0</v>
      </c>
      <c r="K266" s="123">
        <f t="shared" si="15"/>
        <v>0</v>
      </c>
      <c r="L266" s="91"/>
      <c r="M266" s="92"/>
      <c r="N266" s="92"/>
      <c r="O266" s="93">
        <v>0</v>
      </c>
      <c r="P266" s="86"/>
      <c r="Q266" s="82">
        <f t="shared" si="17"/>
        <v>261</v>
      </c>
    </row>
    <row r="267" spans="1:17" ht="20.25" customHeight="1">
      <c r="A267" s="85"/>
      <c r="B267" s="102"/>
      <c r="C267" s="86"/>
      <c r="D267" s="87"/>
      <c r="E267" s="88" t="str">
        <f>IFERROR(VLOOKUP(D267,ProductMaster!$A:$B,2,FALSE),"")</f>
        <v/>
      </c>
      <c r="F267" s="88" t="str">
        <f>IFERROR(VLOOKUP(D267,ProductMaster!$A:$C,3,FALSE),"")</f>
        <v/>
      </c>
      <c r="G267" s="89" t="str">
        <f>IFERROR(VLOOKUP($D267,ProductMaster!$A:$O,4,FALSE),"")</f>
        <v/>
      </c>
      <c r="H267" s="90"/>
      <c r="I267" s="123">
        <f>IFERROR(VLOOKUP(E267,ProductMaster!B:G,6,FALSE),0)</f>
        <v>0</v>
      </c>
      <c r="J267" s="123">
        <f t="shared" si="16"/>
        <v>0</v>
      </c>
      <c r="K267" s="123">
        <f t="shared" si="15"/>
        <v>0</v>
      </c>
      <c r="L267" s="91"/>
      <c r="M267" s="92"/>
      <c r="N267" s="92"/>
      <c r="O267" s="93">
        <v>0</v>
      </c>
      <c r="P267" s="86"/>
      <c r="Q267" s="82">
        <f t="shared" si="17"/>
        <v>262</v>
      </c>
    </row>
    <row r="268" spans="1:17" ht="20.25" customHeight="1">
      <c r="A268" s="85"/>
      <c r="B268" s="102"/>
      <c r="C268" s="86"/>
      <c r="D268" s="87"/>
      <c r="E268" s="88" t="str">
        <f>IFERROR(VLOOKUP(D268,ProductMaster!$A:$B,2,FALSE),"")</f>
        <v/>
      </c>
      <c r="F268" s="88" t="str">
        <f>IFERROR(VLOOKUP(D268,ProductMaster!$A:$C,3,FALSE),"")</f>
        <v/>
      </c>
      <c r="G268" s="89" t="str">
        <f>IFERROR(VLOOKUP($D268,ProductMaster!$A:$O,4,FALSE),"")</f>
        <v/>
      </c>
      <c r="H268" s="90"/>
      <c r="I268" s="123">
        <f>IFERROR(VLOOKUP(E268,ProductMaster!B:G,6,FALSE),0)</f>
        <v>0</v>
      </c>
      <c r="J268" s="123">
        <f t="shared" si="16"/>
        <v>0</v>
      </c>
      <c r="K268" s="123">
        <f t="shared" si="15"/>
        <v>0</v>
      </c>
      <c r="L268" s="91"/>
      <c r="M268" s="92"/>
      <c r="N268" s="92"/>
      <c r="O268" s="93">
        <v>0</v>
      </c>
      <c r="P268" s="86"/>
      <c r="Q268" s="82">
        <f t="shared" si="17"/>
        <v>263</v>
      </c>
    </row>
    <row r="269" spans="1:17" ht="20.25" customHeight="1">
      <c r="A269" s="85"/>
      <c r="B269" s="102"/>
      <c r="C269" s="86"/>
      <c r="D269" s="87"/>
      <c r="E269" s="88" t="str">
        <f>IFERROR(VLOOKUP(D269,ProductMaster!$A:$B,2,FALSE),"")</f>
        <v/>
      </c>
      <c r="F269" s="88" t="str">
        <f>IFERROR(VLOOKUP(D269,ProductMaster!$A:$C,3,FALSE),"")</f>
        <v/>
      </c>
      <c r="G269" s="89" t="str">
        <f>IFERROR(VLOOKUP($D269,ProductMaster!$A:$O,4,FALSE),"")</f>
        <v/>
      </c>
      <c r="H269" s="90"/>
      <c r="I269" s="123">
        <f>IFERROR(VLOOKUP(E269,ProductMaster!B:G,6,FALSE),0)</f>
        <v>0</v>
      </c>
      <c r="J269" s="123">
        <f t="shared" si="16"/>
        <v>0</v>
      </c>
      <c r="K269" s="123">
        <f t="shared" si="15"/>
        <v>0</v>
      </c>
      <c r="L269" s="91"/>
      <c r="M269" s="92"/>
      <c r="N269" s="92"/>
      <c r="O269" s="93">
        <v>0</v>
      </c>
      <c r="P269" s="86"/>
      <c r="Q269" s="82">
        <f t="shared" si="17"/>
        <v>264</v>
      </c>
    </row>
    <row r="270" spans="1:17" ht="20.25" customHeight="1">
      <c r="A270" s="85"/>
      <c r="B270" s="102"/>
      <c r="C270" s="86"/>
      <c r="D270" s="87"/>
      <c r="E270" s="88" t="str">
        <f>IFERROR(VLOOKUP(D270,ProductMaster!$A:$B,2,FALSE),"")</f>
        <v/>
      </c>
      <c r="F270" s="88" t="str">
        <f>IFERROR(VLOOKUP(D270,ProductMaster!$A:$C,3,FALSE),"")</f>
        <v/>
      </c>
      <c r="G270" s="89" t="str">
        <f>IFERROR(VLOOKUP($D270,ProductMaster!$A:$O,4,FALSE),"")</f>
        <v/>
      </c>
      <c r="H270" s="90"/>
      <c r="I270" s="123">
        <f>IFERROR(VLOOKUP(E270,ProductMaster!B:G,6,FALSE),0)</f>
        <v>0</v>
      </c>
      <c r="J270" s="123">
        <f t="shared" si="16"/>
        <v>0</v>
      </c>
      <c r="K270" s="123">
        <f t="shared" si="15"/>
        <v>0</v>
      </c>
      <c r="L270" s="91"/>
      <c r="M270" s="92"/>
      <c r="N270" s="92"/>
      <c r="O270" s="93">
        <v>0</v>
      </c>
      <c r="P270" s="86"/>
      <c r="Q270" s="82">
        <f t="shared" si="17"/>
        <v>265</v>
      </c>
    </row>
    <row r="271" spans="1:17" ht="20.25" customHeight="1">
      <c r="A271" s="85"/>
      <c r="B271" s="102"/>
      <c r="C271" s="86"/>
      <c r="D271" s="87"/>
      <c r="E271" s="88" t="str">
        <f>IFERROR(VLOOKUP(D271,ProductMaster!$A:$B,2,FALSE),"")</f>
        <v/>
      </c>
      <c r="F271" s="88" t="str">
        <f>IFERROR(VLOOKUP(D271,ProductMaster!$A:$C,3,FALSE),"")</f>
        <v/>
      </c>
      <c r="G271" s="89" t="str">
        <f>IFERROR(VLOOKUP($D271,ProductMaster!$A:$O,4,FALSE),"")</f>
        <v/>
      </c>
      <c r="H271" s="90"/>
      <c r="I271" s="123">
        <f>IFERROR(VLOOKUP(E271,ProductMaster!B:G,6,FALSE),0)</f>
        <v>0</v>
      </c>
      <c r="J271" s="123">
        <f t="shared" si="16"/>
        <v>0</v>
      </c>
      <c r="K271" s="123">
        <f t="shared" si="15"/>
        <v>0</v>
      </c>
      <c r="L271" s="91"/>
      <c r="M271" s="92"/>
      <c r="N271" s="92"/>
      <c r="O271" s="93">
        <v>0</v>
      </c>
      <c r="P271" s="86"/>
      <c r="Q271" s="82">
        <f t="shared" si="17"/>
        <v>266</v>
      </c>
    </row>
    <row r="272" spans="1:17" ht="20.25" customHeight="1">
      <c r="A272" s="85"/>
      <c r="B272" s="102"/>
      <c r="C272" s="86"/>
      <c r="D272" s="87"/>
      <c r="E272" s="88" t="str">
        <f>IFERROR(VLOOKUP(D272,ProductMaster!$A:$B,2,FALSE),"")</f>
        <v/>
      </c>
      <c r="F272" s="88" t="str">
        <f>IFERROR(VLOOKUP(D272,ProductMaster!$A:$C,3,FALSE),"")</f>
        <v/>
      </c>
      <c r="G272" s="89" t="str">
        <f>IFERROR(VLOOKUP($D272,ProductMaster!$A:$O,4,FALSE),"")</f>
        <v/>
      </c>
      <c r="H272" s="90"/>
      <c r="I272" s="123">
        <f>IFERROR(VLOOKUP(E272,ProductMaster!B:G,6,FALSE),0)</f>
        <v>0</v>
      </c>
      <c r="J272" s="123">
        <f t="shared" si="16"/>
        <v>0</v>
      </c>
      <c r="K272" s="123">
        <f t="shared" si="15"/>
        <v>0</v>
      </c>
      <c r="L272" s="91"/>
      <c r="M272" s="92"/>
      <c r="N272" s="92"/>
      <c r="O272" s="93">
        <v>0</v>
      </c>
      <c r="P272" s="86"/>
      <c r="Q272" s="82">
        <f t="shared" si="17"/>
        <v>267</v>
      </c>
    </row>
    <row r="273" spans="1:17" ht="20.25" customHeight="1">
      <c r="A273" s="85"/>
      <c r="B273" s="102"/>
      <c r="C273" s="86"/>
      <c r="D273" s="87"/>
      <c r="E273" s="88" t="str">
        <f>IFERROR(VLOOKUP(D273,ProductMaster!$A:$B,2,FALSE),"")</f>
        <v/>
      </c>
      <c r="F273" s="88" t="str">
        <f>IFERROR(VLOOKUP(D273,ProductMaster!$A:$C,3,FALSE),"")</f>
        <v/>
      </c>
      <c r="G273" s="89" t="str">
        <f>IFERROR(VLOOKUP($D273,ProductMaster!$A:$O,4,FALSE),"")</f>
        <v/>
      </c>
      <c r="H273" s="90"/>
      <c r="I273" s="123">
        <f>IFERROR(VLOOKUP(E273,ProductMaster!B:G,6,FALSE),0)</f>
        <v>0</v>
      </c>
      <c r="J273" s="123">
        <f t="shared" si="16"/>
        <v>0</v>
      </c>
      <c r="K273" s="123">
        <f t="shared" ref="K273:K336" si="18">ROUND(SUM(H273*I273),2)</f>
        <v>0</v>
      </c>
      <c r="L273" s="91"/>
      <c r="M273" s="92"/>
      <c r="N273" s="92"/>
      <c r="O273" s="93">
        <v>0</v>
      </c>
      <c r="P273" s="86"/>
      <c r="Q273" s="82">
        <f t="shared" si="17"/>
        <v>268</v>
      </c>
    </row>
    <row r="274" spans="1:17" ht="20.25" customHeight="1">
      <c r="A274" s="85"/>
      <c r="B274" s="102"/>
      <c r="C274" s="86"/>
      <c r="D274" s="87"/>
      <c r="E274" s="88" t="str">
        <f>IFERROR(VLOOKUP(D274,ProductMaster!$A:$B,2,FALSE),"")</f>
        <v/>
      </c>
      <c r="F274" s="88" t="str">
        <f>IFERROR(VLOOKUP(D274,ProductMaster!$A:$C,3,FALSE),"")</f>
        <v/>
      </c>
      <c r="G274" s="89" t="str">
        <f>IFERROR(VLOOKUP($D274,ProductMaster!$A:$O,4,FALSE),"")</f>
        <v/>
      </c>
      <c r="H274" s="90"/>
      <c r="I274" s="123">
        <f>IFERROR(VLOOKUP(E274,ProductMaster!B:G,6,FALSE),0)</f>
        <v>0</v>
      </c>
      <c r="J274" s="123">
        <f t="shared" si="16"/>
        <v>0</v>
      </c>
      <c r="K274" s="123">
        <f t="shared" si="18"/>
        <v>0</v>
      </c>
      <c r="L274" s="91"/>
      <c r="M274" s="92"/>
      <c r="N274" s="92"/>
      <c r="O274" s="93">
        <v>0</v>
      </c>
      <c r="P274" s="86"/>
      <c r="Q274" s="82">
        <f t="shared" si="17"/>
        <v>269</v>
      </c>
    </row>
    <row r="275" spans="1:17" ht="20.25" customHeight="1">
      <c r="A275" s="85"/>
      <c r="B275" s="102"/>
      <c r="C275" s="86"/>
      <c r="D275" s="87"/>
      <c r="E275" s="88" t="str">
        <f>IFERROR(VLOOKUP(D275,ProductMaster!$A:$B,2,FALSE),"")</f>
        <v/>
      </c>
      <c r="F275" s="88" t="str">
        <f>IFERROR(VLOOKUP(D275,ProductMaster!$A:$C,3,FALSE),"")</f>
        <v/>
      </c>
      <c r="G275" s="89" t="str">
        <f>IFERROR(VLOOKUP($D275,ProductMaster!$A:$O,4,FALSE),"")</f>
        <v/>
      </c>
      <c r="H275" s="90"/>
      <c r="I275" s="123">
        <f>IFERROR(VLOOKUP(E275,ProductMaster!B:G,6,FALSE),0)</f>
        <v>0</v>
      </c>
      <c r="J275" s="123">
        <f t="shared" si="16"/>
        <v>0</v>
      </c>
      <c r="K275" s="123">
        <f t="shared" si="18"/>
        <v>0</v>
      </c>
      <c r="L275" s="91"/>
      <c r="M275" s="92"/>
      <c r="N275" s="92"/>
      <c r="O275" s="93">
        <v>0</v>
      </c>
      <c r="P275" s="86"/>
      <c r="Q275" s="82">
        <f t="shared" si="17"/>
        <v>270</v>
      </c>
    </row>
    <row r="276" spans="1:17" ht="20.25" customHeight="1">
      <c r="A276" s="85"/>
      <c r="B276" s="102"/>
      <c r="C276" s="86"/>
      <c r="D276" s="87"/>
      <c r="E276" s="88" t="str">
        <f>IFERROR(VLOOKUP(D276,ProductMaster!$A:$B,2,FALSE),"")</f>
        <v/>
      </c>
      <c r="F276" s="88" t="str">
        <f>IFERROR(VLOOKUP(D276,ProductMaster!$A:$C,3,FALSE),"")</f>
        <v/>
      </c>
      <c r="G276" s="89" t="str">
        <f>IFERROR(VLOOKUP($D276,ProductMaster!$A:$O,4,FALSE),"")</f>
        <v/>
      </c>
      <c r="H276" s="90"/>
      <c r="I276" s="123">
        <f>IFERROR(VLOOKUP(E276,ProductMaster!B:G,6,FALSE),0)</f>
        <v>0</v>
      </c>
      <c r="J276" s="123">
        <f t="shared" si="16"/>
        <v>0</v>
      </c>
      <c r="K276" s="123">
        <f t="shared" si="18"/>
        <v>0</v>
      </c>
      <c r="L276" s="91"/>
      <c r="M276" s="92"/>
      <c r="N276" s="92"/>
      <c r="O276" s="93">
        <v>0</v>
      </c>
      <c r="P276" s="86"/>
      <c r="Q276" s="82">
        <f t="shared" si="17"/>
        <v>271</v>
      </c>
    </row>
    <row r="277" spans="1:17" ht="20.25" customHeight="1">
      <c r="A277" s="85"/>
      <c r="B277" s="102"/>
      <c r="C277" s="86"/>
      <c r="D277" s="87"/>
      <c r="E277" s="88" t="str">
        <f>IFERROR(VLOOKUP(D277,ProductMaster!$A:$B,2,FALSE),"")</f>
        <v/>
      </c>
      <c r="F277" s="88" t="str">
        <f>IFERROR(VLOOKUP(D277,ProductMaster!$A:$C,3,FALSE),"")</f>
        <v/>
      </c>
      <c r="G277" s="89" t="str">
        <f>IFERROR(VLOOKUP($D277,ProductMaster!$A:$O,4,FALSE),"")</f>
        <v/>
      </c>
      <c r="H277" s="90"/>
      <c r="I277" s="123">
        <f>IFERROR(VLOOKUP(E277,ProductMaster!B:G,6,FALSE),0)</f>
        <v>0</v>
      </c>
      <c r="J277" s="123">
        <f t="shared" si="16"/>
        <v>0</v>
      </c>
      <c r="K277" s="123">
        <f t="shared" si="18"/>
        <v>0</v>
      </c>
      <c r="L277" s="91"/>
      <c r="M277" s="92"/>
      <c r="N277" s="92"/>
      <c r="O277" s="93">
        <v>0</v>
      </c>
      <c r="P277" s="86"/>
      <c r="Q277" s="82">
        <f t="shared" si="17"/>
        <v>272</v>
      </c>
    </row>
    <row r="278" spans="1:17" ht="20.25" customHeight="1">
      <c r="A278" s="85"/>
      <c r="B278" s="102"/>
      <c r="C278" s="86"/>
      <c r="D278" s="87"/>
      <c r="E278" s="88" t="str">
        <f>IFERROR(VLOOKUP(D278,ProductMaster!$A:$B,2,FALSE),"")</f>
        <v/>
      </c>
      <c r="F278" s="88" t="str">
        <f>IFERROR(VLOOKUP(D278,ProductMaster!$A:$C,3,FALSE),"")</f>
        <v/>
      </c>
      <c r="G278" s="89" t="str">
        <f>IFERROR(VLOOKUP($D278,ProductMaster!$A:$O,4,FALSE),"")</f>
        <v/>
      </c>
      <c r="H278" s="90"/>
      <c r="I278" s="123">
        <f>IFERROR(VLOOKUP(E278,ProductMaster!B:G,6,FALSE),0)</f>
        <v>0</v>
      </c>
      <c r="J278" s="123">
        <f t="shared" si="16"/>
        <v>0</v>
      </c>
      <c r="K278" s="123">
        <f t="shared" si="18"/>
        <v>0</v>
      </c>
      <c r="L278" s="91"/>
      <c r="M278" s="92"/>
      <c r="N278" s="92"/>
      <c r="O278" s="93">
        <v>0</v>
      </c>
      <c r="P278" s="86"/>
      <c r="Q278" s="82">
        <f t="shared" si="17"/>
        <v>273</v>
      </c>
    </row>
    <row r="279" spans="1:17" ht="20.25" customHeight="1">
      <c r="A279" s="85"/>
      <c r="B279" s="102"/>
      <c r="C279" s="86"/>
      <c r="D279" s="87"/>
      <c r="E279" s="88" t="str">
        <f>IFERROR(VLOOKUP(D279,ProductMaster!$A:$B,2,FALSE),"")</f>
        <v/>
      </c>
      <c r="F279" s="88" t="str">
        <f>IFERROR(VLOOKUP(D279,ProductMaster!$A:$C,3,FALSE),"")</f>
        <v/>
      </c>
      <c r="G279" s="89" t="str">
        <f>IFERROR(VLOOKUP($D279,ProductMaster!$A:$O,4,FALSE),"")</f>
        <v/>
      </c>
      <c r="H279" s="90"/>
      <c r="I279" s="123">
        <f>IFERROR(VLOOKUP(E279,ProductMaster!B:G,6,FALSE),0)</f>
        <v>0</v>
      </c>
      <c r="J279" s="123">
        <f t="shared" si="16"/>
        <v>0</v>
      </c>
      <c r="K279" s="123">
        <f t="shared" si="18"/>
        <v>0</v>
      </c>
      <c r="L279" s="91"/>
      <c r="M279" s="92"/>
      <c r="N279" s="92"/>
      <c r="O279" s="93">
        <v>0</v>
      </c>
      <c r="P279" s="86"/>
      <c r="Q279" s="82">
        <f t="shared" si="17"/>
        <v>274</v>
      </c>
    </row>
    <row r="280" spans="1:17" ht="20.25" customHeight="1">
      <c r="A280" s="85"/>
      <c r="B280" s="102"/>
      <c r="C280" s="86"/>
      <c r="D280" s="87"/>
      <c r="E280" s="88" t="str">
        <f>IFERROR(VLOOKUP(D280,ProductMaster!$A:$B,2,FALSE),"")</f>
        <v/>
      </c>
      <c r="F280" s="88" t="str">
        <f>IFERROR(VLOOKUP(D280,ProductMaster!$A:$C,3,FALSE),"")</f>
        <v/>
      </c>
      <c r="G280" s="89" t="str">
        <f>IFERROR(VLOOKUP($D280,ProductMaster!$A:$O,4,FALSE),"")</f>
        <v/>
      </c>
      <c r="H280" s="90"/>
      <c r="I280" s="123">
        <f>IFERROR(VLOOKUP(E280,ProductMaster!B:G,6,FALSE),0)</f>
        <v>0</v>
      </c>
      <c r="J280" s="123">
        <f t="shared" si="16"/>
        <v>0</v>
      </c>
      <c r="K280" s="123">
        <f t="shared" si="18"/>
        <v>0</v>
      </c>
      <c r="L280" s="91"/>
      <c r="M280" s="92"/>
      <c r="N280" s="92"/>
      <c r="O280" s="93">
        <v>0</v>
      </c>
      <c r="P280" s="86"/>
      <c r="Q280" s="82">
        <f t="shared" si="17"/>
        <v>275</v>
      </c>
    </row>
    <row r="281" spans="1:17" ht="20.25" customHeight="1">
      <c r="A281" s="85"/>
      <c r="B281" s="102"/>
      <c r="C281" s="86"/>
      <c r="D281" s="87"/>
      <c r="E281" s="88" t="str">
        <f>IFERROR(VLOOKUP(D281,ProductMaster!$A:$B,2,FALSE),"")</f>
        <v/>
      </c>
      <c r="F281" s="88" t="str">
        <f>IFERROR(VLOOKUP(D281,ProductMaster!$A:$C,3,FALSE),"")</f>
        <v/>
      </c>
      <c r="G281" s="89" t="str">
        <f>IFERROR(VLOOKUP($D281,ProductMaster!$A:$O,4,FALSE),"")</f>
        <v/>
      </c>
      <c r="H281" s="90"/>
      <c r="I281" s="123">
        <f>IFERROR(VLOOKUP(E281,ProductMaster!B:G,6,FALSE),0)</f>
        <v>0</v>
      </c>
      <c r="J281" s="123">
        <f t="shared" si="16"/>
        <v>0</v>
      </c>
      <c r="K281" s="123">
        <f t="shared" si="18"/>
        <v>0</v>
      </c>
      <c r="L281" s="91"/>
      <c r="M281" s="92"/>
      <c r="N281" s="92"/>
      <c r="O281" s="93">
        <v>0</v>
      </c>
      <c r="P281" s="86"/>
      <c r="Q281" s="82">
        <f t="shared" si="17"/>
        <v>276</v>
      </c>
    </row>
    <row r="282" spans="1:17" ht="20.25" customHeight="1">
      <c r="A282" s="85"/>
      <c r="B282" s="102"/>
      <c r="C282" s="86"/>
      <c r="D282" s="87"/>
      <c r="E282" s="88" t="str">
        <f>IFERROR(VLOOKUP(D282,ProductMaster!$A:$B,2,FALSE),"")</f>
        <v/>
      </c>
      <c r="F282" s="88" t="str">
        <f>IFERROR(VLOOKUP(D282,ProductMaster!$A:$C,3,FALSE),"")</f>
        <v/>
      </c>
      <c r="G282" s="89" t="str">
        <f>IFERROR(VLOOKUP($D282,ProductMaster!$A:$O,4,FALSE),"")</f>
        <v/>
      </c>
      <c r="H282" s="90"/>
      <c r="I282" s="123">
        <f>IFERROR(VLOOKUP(E282,ProductMaster!B:G,6,FALSE),0)</f>
        <v>0</v>
      </c>
      <c r="J282" s="123">
        <f t="shared" si="16"/>
        <v>0</v>
      </c>
      <c r="K282" s="123">
        <f t="shared" si="18"/>
        <v>0</v>
      </c>
      <c r="L282" s="91"/>
      <c r="M282" s="92"/>
      <c r="N282" s="92"/>
      <c r="O282" s="93">
        <v>0</v>
      </c>
      <c r="P282" s="86"/>
      <c r="Q282" s="82">
        <f t="shared" si="17"/>
        <v>277</v>
      </c>
    </row>
    <row r="283" spans="1:17" ht="20.25" customHeight="1">
      <c r="A283" s="85"/>
      <c r="B283" s="102"/>
      <c r="C283" s="86"/>
      <c r="D283" s="87"/>
      <c r="E283" s="88" t="str">
        <f>IFERROR(VLOOKUP(D283,ProductMaster!$A:$B,2,FALSE),"")</f>
        <v/>
      </c>
      <c r="F283" s="88" t="str">
        <f>IFERROR(VLOOKUP(D283,ProductMaster!$A:$C,3,FALSE),"")</f>
        <v/>
      </c>
      <c r="G283" s="89" t="str">
        <f>IFERROR(VLOOKUP($D283,ProductMaster!$A:$O,4,FALSE),"")</f>
        <v/>
      </c>
      <c r="H283" s="90"/>
      <c r="I283" s="123">
        <f>IFERROR(VLOOKUP(E283,ProductMaster!B:G,6,FALSE),0)</f>
        <v>0</v>
      </c>
      <c r="J283" s="123">
        <f t="shared" si="16"/>
        <v>0</v>
      </c>
      <c r="K283" s="123">
        <f t="shared" si="18"/>
        <v>0</v>
      </c>
      <c r="L283" s="91"/>
      <c r="M283" s="92"/>
      <c r="N283" s="92"/>
      <c r="O283" s="93">
        <v>0</v>
      </c>
      <c r="P283" s="86"/>
      <c r="Q283" s="82">
        <f t="shared" si="17"/>
        <v>278</v>
      </c>
    </row>
    <row r="284" spans="1:17" ht="20.25" customHeight="1">
      <c r="A284" s="85"/>
      <c r="B284" s="102"/>
      <c r="C284" s="86"/>
      <c r="D284" s="87"/>
      <c r="E284" s="88" t="str">
        <f>IFERROR(VLOOKUP(D284,ProductMaster!$A:$B,2,FALSE),"")</f>
        <v/>
      </c>
      <c r="F284" s="88" t="str">
        <f>IFERROR(VLOOKUP(D284,ProductMaster!$A:$C,3,FALSE),"")</f>
        <v/>
      </c>
      <c r="G284" s="89" t="str">
        <f>IFERROR(VLOOKUP($D284,ProductMaster!$A:$O,4,FALSE),"")</f>
        <v/>
      </c>
      <c r="H284" s="90"/>
      <c r="I284" s="123">
        <f>IFERROR(VLOOKUP(E284,ProductMaster!B:G,6,FALSE),0)</f>
        <v>0</v>
      </c>
      <c r="J284" s="123">
        <f t="shared" si="16"/>
        <v>0</v>
      </c>
      <c r="K284" s="123">
        <f t="shared" si="18"/>
        <v>0</v>
      </c>
      <c r="L284" s="91"/>
      <c r="M284" s="92"/>
      <c r="N284" s="92"/>
      <c r="O284" s="93">
        <v>0</v>
      </c>
      <c r="P284" s="86"/>
      <c r="Q284" s="82">
        <f t="shared" si="17"/>
        <v>279</v>
      </c>
    </row>
    <row r="285" spans="1:17" ht="20.25" customHeight="1">
      <c r="A285" s="85"/>
      <c r="B285" s="102"/>
      <c r="C285" s="86"/>
      <c r="D285" s="87"/>
      <c r="E285" s="88" t="str">
        <f>IFERROR(VLOOKUP(D285,ProductMaster!$A:$B,2,FALSE),"")</f>
        <v/>
      </c>
      <c r="F285" s="88" t="str">
        <f>IFERROR(VLOOKUP(D285,ProductMaster!$A:$C,3,FALSE),"")</f>
        <v/>
      </c>
      <c r="G285" s="89" t="str">
        <f>IFERROR(VLOOKUP($D285,ProductMaster!$A:$O,4,FALSE),"")</f>
        <v/>
      </c>
      <c r="H285" s="90"/>
      <c r="I285" s="123">
        <f>IFERROR(VLOOKUP(E285,ProductMaster!B:G,6,FALSE),0)</f>
        <v>0</v>
      </c>
      <c r="J285" s="123">
        <f t="shared" si="16"/>
        <v>0</v>
      </c>
      <c r="K285" s="123">
        <f t="shared" si="18"/>
        <v>0</v>
      </c>
      <c r="L285" s="91"/>
      <c r="M285" s="92"/>
      <c r="N285" s="92"/>
      <c r="O285" s="93">
        <v>0</v>
      </c>
      <c r="P285" s="86"/>
      <c r="Q285" s="82">
        <f t="shared" si="17"/>
        <v>280</v>
      </c>
    </row>
    <row r="286" spans="1:17" ht="20.25" customHeight="1">
      <c r="A286" s="85"/>
      <c r="B286" s="102"/>
      <c r="C286" s="86"/>
      <c r="D286" s="87"/>
      <c r="E286" s="88" t="str">
        <f>IFERROR(VLOOKUP(D286,ProductMaster!$A:$B,2,FALSE),"")</f>
        <v/>
      </c>
      <c r="F286" s="88" t="str">
        <f>IFERROR(VLOOKUP(D286,ProductMaster!$A:$C,3,FALSE),"")</f>
        <v/>
      </c>
      <c r="G286" s="89" t="str">
        <f>IFERROR(VLOOKUP($D286,ProductMaster!$A:$O,4,FALSE),"")</f>
        <v/>
      </c>
      <c r="H286" s="90"/>
      <c r="I286" s="123">
        <f>IFERROR(VLOOKUP(E286,ProductMaster!B:G,6,FALSE),0)</f>
        <v>0</v>
      </c>
      <c r="J286" s="123">
        <f t="shared" si="16"/>
        <v>0</v>
      </c>
      <c r="K286" s="123">
        <f t="shared" si="18"/>
        <v>0</v>
      </c>
      <c r="L286" s="91"/>
      <c r="M286" s="92"/>
      <c r="N286" s="92"/>
      <c r="O286" s="93">
        <v>0</v>
      </c>
      <c r="P286" s="86"/>
      <c r="Q286" s="82">
        <f t="shared" si="17"/>
        <v>281</v>
      </c>
    </row>
    <row r="287" spans="1:17" ht="20.25" customHeight="1">
      <c r="A287" s="85"/>
      <c r="B287" s="102"/>
      <c r="C287" s="86"/>
      <c r="D287" s="87"/>
      <c r="E287" s="88" t="str">
        <f>IFERROR(VLOOKUP(D287,ProductMaster!$A:$B,2,FALSE),"")</f>
        <v/>
      </c>
      <c r="F287" s="88" t="str">
        <f>IFERROR(VLOOKUP(D287,ProductMaster!$A:$C,3,FALSE),"")</f>
        <v/>
      </c>
      <c r="G287" s="89" t="str">
        <f>IFERROR(VLOOKUP($D287,ProductMaster!$A:$O,4,FALSE),"")</f>
        <v/>
      </c>
      <c r="H287" s="90"/>
      <c r="I287" s="123">
        <f>IFERROR(VLOOKUP(E287,ProductMaster!B:G,6,FALSE),0)</f>
        <v>0</v>
      </c>
      <c r="J287" s="123">
        <f t="shared" si="16"/>
        <v>0</v>
      </c>
      <c r="K287" s="123">
        <f t="shared" si="18"/>
        <v>0</v>
      </c>
      <c r="L287" s="91"/>
      <c r="M287" s="92"/>
      <c r="N287" s="92"/>
      <c r="O287" s="93">
        <v>0</v>
      </c>
      <c r="P287" s="86"/>
      <c r="Q287" s="82">
        <f t="shared" si="17"/>
        <v>282</v>
      </c>
    </row>
    <row r="288" spans="1:17" ht="20.25" customHeight="1">
      <c r="A288" s="85"/>
      <c r="B288" s="102"/>
      <c r="C288" s="86"/>
      <c r="D288" s="87"/>
      <c r="E288" s="88" t="str">
        <f>IFERROR(VLOOKUP(D288,ProductMaster!$A:$B,2,FALSE),"")</f>
        <v/>
      </c>
      <c r="F288" s="88" t="str">
        <f>IFERROR(VLOOKUP(D288,ProductMaster!$A:$C,3,FALSE),"")</f>
        <v/>
      </c>
      <c r="G288" s="89" t="str">
        <f>IFERROR(VLOOKUP($D288,ProductMaster!$A:$O,4,FALSE),"")</f>
        <v/>
      </c>
      <c r="H288" s="90"/>
      <c r="I288" s="123">
        <f>IFERROR(VLOOKUP(E288,ProductMaster!B:G,6,FALSE),0)</f>
        <v>0</v>
      </c>
      <c r="J288" s="123">
        <f t="shared" si="16"/>
        <v>0</v>
      </c>
      <c r="K288" s="123">
        <f t="shared" si="18"/>
        <v>0</v>
      </c>
      <c r="L288" s="91"/>
      <c r="M288" s="92"/>
      <c r="N288" s="92"/>
      <c r="O288" s="93">
        <v>0</v>
      </c>
      <c r="P288" s="86"/>
      <c r="Q288" s="82">
        <f t="shared" si="17"/>
        <v>283</v>
      </c>
    </row>
    <row r="289" spans="1:17" ht="20.25" customHeight="1">
      <c r="A289" s="85"/>
      <c r="B289" s="102"/>
      <c r="C289" s="86"/>
      <c r="D289" s="87"/>
      <c r="E289" s="88" t="str">
        <f>IFERROR(VLOOKUP(D289,ProductMaster!$A:$B,2,FALSE),"")</f>
        <v/>
      </c>
      <c r="F289" s="88" t="str">
        <f>IFERROR(VLOOKUP(D289,ProductMaster!$A:$C,3,FALSE),"")</f>
        <v/>
      </c>
      <c r="G289" s="89" t="str">
        <f>IFERROR(VLOOKUP($D289,ProductMaster!$A:$O,4,FALSE),"")</f>
        <v/>
      </c>
      <c r="H289" s="90"/>
      <c r="I289" s="123">
        <f>IFERROR(VLOOKUP(E289,ProductMaster!B:G,6,FALSE),0)</f>
        <v>0</v>
      </c>
      <c r="J289" s="123">
        <f t="shared" si="16"/>
        <v>0</v>
      </c>
      <c r="K289" s="123">
        <f t="shared" si="18"/>
        <v>0</v>
      </c>
      <c r="L289" s="91"/>
      <c r="M289" s="92"/>
      <c r="N289" s="92"/>
      <c r="O289" s="93">
        <v>0</v>
      </c>
      <c r="P289" s="86"/>
      <c r="Q289" s="82">
        <f t="shared" si="17"/>
        <v>284</v>
      </c>
    </row>
    <row r="290" spans="1:17" ht="20.25" customHeight="1">
      <c r="A290" s="85"/>
      <c r="B290" s="102"/>
      <c r="C290" s="86"/>
      <c r="D290" s="87"/>
      <c r="E290" s="88" t="str">
        <f>IFERROR(VLOOKUP(D290,ProductMaster!$A:$B,2,FALSE),"")</f>
        <v/>
      </c>
      <c r="F290" s="88" t="str">
        <f>IFERROR(VLOOKUP(D290,ProductMaster!$A:$C,3,FALSE),"")</f>
        <v/>
      </c>
      <c r="G290" s="89" t="str">
        <f>IFERROR(VLOOKUP($D290,ProductMaster!$A:$O,4,FALSE),"")</f>
        <v/>
      </c>
      <c r="H290" s="90"/>
      <c r="I290" s="123">
        <f>IFERROR(VLOOKUP(E290,ProductMaster!B:G,6,FALSE),0)</f>
        <v>0</v>
      </c>
      <c r="J290" s="123">
        <f t="shared" si="16"/>
        <v>0</v>
      </c>
      <c r="K290" s="123">
        <f t="shared" si="18"/>
        <v>0</v>
      </c>
      <c r="L290" s="91"/>
      <c r="M290" s="92"/>
      <c r="N290" s="92"/>
      <c r="O290" s="93">
        <v>0</v>
      </c>
      <c r="P290" s="86"/>
      <c r="Q290" s="82">
        <f t="shared" si="17"/>
        <v>285</v>
      </c>
    </row>
    <row r="291" spans="1:17" ht="20.25" customHeight="1">
      <c r="A291" s="85"/>
      <c r="B291" s="102"/>
      <c r="C291" s="86"/>
      <c r="D291" s="87"/>
      <c r="E291" s="88" t="str">
        <f>IFERROR(VLOOKUP(D291,ProductMaster!$A:$B,2,FALSE),"")</f>
        <v/>
      </c>
      <c r="F291" s="88" t="str">
        <f>IFERROR(VLOOKUP(D291,ProductMaster!$A:$C,3,FALSE),"")</f>
        <v/>
      </c>
      <c r="G291" s="89" t="str">
        <f>IFERROR(VLOOKUP($D291,ProductMaster!$A:$O,4,FALSE),"")</f>
        <v/>
      </c>
      <c r="H291" s="90"/>
      <c r="I291" s="123">
        <f>IFERROR(VLOOKUP(E291,ProductMaster!B:G,6,FALSE),0)</f>
        <v>0</v>
      </c>
      <c r="J291" s="123">
        <f t="shared" si="16"/>
        <v>0</v>
      </c>
      <c r="K291" s="123">
        <f t="shared" si="18"/>
        <v>0</v>
      </c>
      <c r="L291" s="91"/>
      <c r="M291" s="92"/>
      <c r="N291" s="92"/>
      <c r="O291" s="93">
        <v>0</v>
      </c>
      <c r="P291" s="86"/>
      <c r="Q291" s="82">
        <f t="shared" si="17"/>
        <v>286</v>
      </c>
    </row>
    <row r="292" spans="1:17" ht="20.25" customHeight="1">
      <c r="A292" s="85"/>
      <c r="B292" s="102"/>
      <c r="C292" s="86"/>
      <c r="D292" s="87"/>
      <c r="E292" s="88" t="str">
        <f>IFERROR(VLOOKUP(D292,ProductMaster!$A:$B,2,FALSE),"")</f>
        <v/>
      </c>
      <c r="F292" s="88" t="str">
        <f>IFERROR(VLOOKUP(D292,ProductMaster!$A:$C,3,FALSE),"")</f>
        <v/>
      </c>
      <c r="G292" s="89" t="str">
        <f>IFERROR(VLOOKUP($D292,ProductMaster!$A:$O,4,FALSE),"")</f>
        <v/>
      </c>
      <c r="H292" s="90"/>
      <c r="I292" s="123">
        <f>IFERROR(VLOOKUP(E292,ProductMaster!B:G,6,FALSE),0)</f>
        <v>0</v>
      </c>
      <c r="J292" s="123">
        <f t="shared" si="16"/>
        <v>0</v>
      </c>
      <c r="K292" s="123">
        <f t="shared" si="18"/>
        <v>0</v>
      </c>
      <c r="L292" s="91"/>
      <c r="M292" s="92"/>
      <c r="N292" s="92"/>
      <c r="O292" s="93">
        <v>0</v>
      </c>
      <c r="P292" s="86"/>
      <c r="Q292" s="82">
        <f t="shared" si="17"/>
        <v>287</v>
      </c>
    </row>
    <row r="293" spans="1:17" ht="20.25" customHeight="1">
      <c r="A293" s="85"/>
      <c r="B293" s="102"/>
      <c r="C293" s="86"/>
      <c r="D293" s="87"/>
      <c r="E293" s="88" t="str">
        <f>IFERROR(VLOOKUP(D293,ProductMaster!$A:$B,2,FALSE),"")</f>
        <v/>
      </c>
      <c r="F293" s="88" t="str">
        <f>IFERROR(VLOOKUP(D293,ProductMaster!$A:$C,3,FALSE),"")</f>
        <v/>
      </c>
      <c r="G293" s="89" t="str">
        <f>IFERROR(VLOOKUP($D293,ProductMaster!$A:$O,4,FALSE),"")</f>
        <v/>
      </c>
      <c r="H293" s="90"/>
      <c r="I293" s="123">
        <f>IFERROR(VLOOKUP(E293,ProductMaster!B:G,6,FALSE),0)</f>
        <v>0</v>
      </c>
      <c r="J293" s="123">
        <f t="shared" si="16"/>
        <v>0</v>
      </c>
      <c r="K293" s="123">
        <f t="shared" si="18"/>
        <v>0</v>
      </c>
      <c r="L293" s="91"/>
      <c r="M293" s="92"/>
      <c r="N293" s="92"/>
      <c r="O293" s="93">
        <v>0</v>
      </c>
      <c r="P293" s="86"/>
      <c r="Q293" s="82">
        <f t="shared" si="17"/>
        <v>288</v>
      </c>
    </row>
    <row r="294" spans="1:17" ht="20.25" customHeight="1">
      <c r="A294" s="85"/>
      <c r="B294" s="102"/>
      <c r="C294" s="86"/>
      <c r="D294" s="87"/>
      <c r="E294" s="88" t="str">
        <f>IFERROR(VLOOKUP(D294,ProductMaster!$A:$B,2,FALSE),"")</f>
        <v/>
      </c>
      <c r="F294" s="88" t="str">
        <f>IFERROR(VLOOKUP(D294,ProductMaster!$A:$C,3,FALSE),"")</f>
        <v/>
      </c>
      <c r="G294" s="89" t="str">
        <f>IFERROR(VLOOKUP($D294,ProductMaster!$A:$O,4,FALSE),"")</f>
        <v/>
      </c>
      <c r="H294" s="90"/>
      <c r="I294" s="123">
        <f>IFERROR(VLOOKUP(E294,ProductMaster!B:G,6,FALSE),0)</f>
        <v>0</v>
      </c>
      <c r="J294" s="123">
        <f t="shared" si="16"/>
        <v>0</v>
      </c>
      <c r="K294" s="123">
        <f t="shared" si="18"/>
        <v>0</v>
      </c>
      <c r="L294" s="91"/>
      <c r="M294" s="92"/>
      <c r="N294" s="92"/>
      <c r="O294" s="93">
        <v>0</v>
      </c>
      <c r="P294" s="86"/>
      <c r="Q294" s="82">
        <f t="shared" si="17"/>
        <v>289</v>
      </c>
    </row>
    <row r="295" spans="1:17" ht="20.25" customHeight="1">
      <c r="A295" s="85"/>
      <c r="B295" s="102"/>
      <c r="C295" s="86"/>
      <c r="D295" s="87"/>
      <c r="E295" s="88" t="str">
        <f>IFERROR(VLOOKUP(D295,ProductMaster!$A:$B,2,FALSE),"")</f>
        <v/>
      </c>
      <c r="F295" s="88" t="str">
        <f>IFERROR(VLOOKUP(D295,ProductMaster!$A:$C,3,FALSE),"")</f>
        <v/>
      </c>
      <c r="G295" s="89" t="str">
        <f>IFERROR(VLOOKUP($D295,ProductMaster!$A:$O,4,FALSE),"")</f>
        <v/>
      </c>
      <c r="H295" s="90"/>
      <c r="I295" s="123">
        <f>IFERROR(VLOOKUP(E295,ProductMaster!B:G,6,FALSE),0)</f>
        <v>0</v>
      </c>
      <c r="J295" s="123">
        <f t="shared" si="16"/>
        <v>0</v>
      </c>
      <c r="K295" s="123">
        <f t="shared" si="18"/>
        <v>0</v>
      </c>
      <c r="L295" s="91"/>
      <c r="M295" s="92"/>
      <c r="N295" s="92"/>
      <c r="O295" s="93">
        <v>0</v>
      </c>
      <c r="P295" s="86"/>
      <c r="Q295" s="82">
        <f t="shared" si="17"/>
        <v>290</v>
      </c>
    </row>
    <row r="296" spans="1:17" ht="20.25" customHeight="1">
      <c r="A296" s="85"/>
      <c r="B296" s="102"/>
      <c r="C296" s="86"/>
      <c r="D296" s="87"/>
      <c r="E296" s="88" t="str">
        <f>IFERROR(VLOOKUP(D296,ProductMaster!$A:$B,2,FALSE),"")</f>
        <v/>
      </c>
      <c r="F296" s="88" t="str">
        <f>IFERROR(VLOOKUP(D296,ProductMaster!$A:$C,3,FALSE),"")</f>
        <v/>
      </c>
      <c r="G296" s="89" t="str">
        <f>IFERROR(VLOOKUP($D296,ProductMaster!$A:$O,4,FALSE),"")</f>
        <v/>
      </c>
      <c r="H296" s="90"/>
      <c r="I296" s="123">
        <f>IFERROR(VLOOKUP(E296,ProductMaster!B:G,6,FALSE),0)</f>
        <v>0</v>
      </c>
      <c r="J296" s="123">
        <f t="shared" si="16"/>
        <v>0</v>
      </c>
      <c r="K296" s="123">
        <f t="shared" si="18"/>
        <v>0</v>
      </c>
      <c r="L296" s="91"/>
      <c r="M296" s="92"/>
      <c r="N296" s="92"/>
      <c r="O296" s="93">
        <v>0</v>
      </c>
      <c r="P296" s="86"/>
      <c r="Q296" s="82">
        <f t="shared" si="17"/>
        <v>291</v>
      </c>
    </row>
    <row r="297" spans="1:17" ht="20.25" customHeight="1">
      <c r="A297" s="85"/>
      <c r="B297" s="102"/>
      <c r="C297" s="86"/>
      <c r="D297" s="87"/>
      <c r="E297" s="88" t="str">
        <f>IFERROR(VLOOKUP(D297,ProductMaster!$A:$B,2,FALSE),"")</f>
        <v/>
      </c>
      <c r="F297" s="88" t="str">
        <f>IFERROR(VLOOKUP(D297,ProductMaster!$A:$C,3,FALSE),"")</f>
        <v/>
      </c>
      <c r="G297" s="89" t="str">
        <f>IFERROR(VLOOKUP($D297,ProductMaster!$A:$O,4,FALSE),"")</f>
        <v/>
      </c>
      <c r="H297" s="90"/>
      <c r="I297" s="123">
        <f>IFERROR(VLOOKUP(E297,ProductMaster!B:G,6,FALSE),0)</f>
        <v>0</v>
      </c>
      <c r="J297" s="123">
        <f t="shared" si="16"/>
        <v>0</v>
      </c>
      <c r="K297" s="123">
        <f t="shared" si="18"/>
        <v>0</v>
      </c>
      <c r="L297" s="91"/>
      <c r="M297" s="92"/>
      <c r="N297" s="92"/>
      <c r="O297" s="93">
        <v>0</v>
      </c>
      <c r="P297" s="86"/>
      <c r="Q297" s="82">
        <f t="shared" si="17"/>
        <v>292</v>
      </c>
    </row>
    <row r="298" spans="1:17" ht="20.25" customHeight="1">
      <c r="A298" s="85"/>
      <c r="B298" s="102"/>
      <c r="C298" s="86"/>
      <c r="D298" s="87"/>
      <c r="E298" s="88" t="str">
        <f>IFERROR(VLOOKUP(D298,ProductMaster!$A:$B,2,FALSE),"")</f>
        <v/>
      </c>
      <c r="F298" s="88" t="str">
        <f>IFERROR(VLOOKUP(D298,ProductMaster!$A:$C,3,FALSE),"")</f>
        <v/>
      </c>
      <c r="G298" s="89" t="str">
        <f>IFERROR(VLOOKUP($D298,ProductMaster!$A:$O,4,FALSE),"")</f>
        <v/>
      </c>
      <c r="H298" s="90"/>
      <c r="I298" s="123">
        <f>IFERROR(VLOOKUP(E298,ProductMaster!B:G,6,FALSE),0)</f>
        <v>0</v>
      </c>
      <c r="J298" s="123">
        <f t="shared" si="16"/>
        <v>0</v>
      </c>
      <c r="K298" s="123">
        <f t="shared" si="18"/>
        <v>0</v>
      </c>
      <c r="L298" s="91"/>
      <c r="M298" s="92"/>
      <c r="N298" s="92"/>
      <c r="O298" s="93">
        <v>0</v>
      </c>
      <c r="P298" s="86"/>
      <c r="Q298" s="82">
        <f t="shared" si="17"/>
        <v>293</v>
      </c>
    </row>
    <row r="299" spans="1:17" ht="20.25" customHeight="1">
      <c r="A299" s="85"/>
      <c r="B299" s="102"/>
      <c r="C299" s="86"/>
      <c r="D299" s="87"/>
      <c r="E299" s="88" t="str">
        <f>IFERROR(VLOOKUP(D299,ProductMaster!$A:$B,2,FALSE),"")</f>
        <v/>
      </c>
      <c r="F299" s="88" t="str">
        <f>IFERROR(VLOOKUP(D299,ProductMaster!$A:$C,3,FALSE),"")</f>
        <v/>
      </c>
      <c r="G299" s="89" t="str">
        <f>IFERROR(VLOOKUP($D299,ProductMaster!$A:$O,4,FALSE),"")</f>
        <v/>
      </c>
      <c r="H299" s="90"/>
      <c r="I299" s="123">
        <f>IFERROR(VLOOKUP(E299,ProductMaster!B:G,6,FALSE),0)</f>
        <v>0</v>
      </c>
      <c r="J299" s="123">
        <f t="shared" si="16"/>
        <v>0</v>
      </c>
      <c r="K299" s="123">
        <f t="shared" si="18"/>
        <v>0</v>
      </c>
      <c r="L299" s="91"/>
      <c r="M299" s="92"/>
      <c r="N299" s="92"/>
      <c r="O299" s="93">
        <v>0</v>
      </c>
      <c r="P299" s="86"/>
      <c r="Q299" s="82">
        <f t="shared" si="17"/>
        <v>294</v>
      </c>
    </row>
    <row r="300" spans="1:17" ht="20.25" customHeight="1">
      <c r="A300" s="85"/>
      <c r="B300" s="102"/>
      <c r="C300" s="86"/>
      <c r="D300" s="87"/>
      <c r="E300" s="88" t="str">
        <f>IFERROR(VLOOKUP(D300,ProductMaster!$A:$B,2,FALSE),"")</f>
        <v/>
      </c>
      <c r="F300" s="88" t="str">
        <f>IFERROR(VLOOKUP(D300,ProductMaster!$A:$C,3,FALSE),"")</f>
        <v/>
      </c>
      <c r="G300" s="89" t="str">
        <f>IFERROR(VLOOKUP($D300,ProductMaster!$A:$O,4,FALSE),"")</f>
        <v/>
      </c>
      <c r="H300" s="90"/>
      <c r="I300" s="123">
        <f>IFERROR(VLOOKUP(E300,ProductMaster!B:G,6,FALSE),0)</f>
        <v>0</v>
      </c>
      <c r="J300" s="123">
        <f t="shared" si="16"/>
        <v>0</v>
      </c>
      <c r="K300" s="123">
        <f t="shared" si="18"/>
        <v>0</v>
      </c>
      <c r="L300" s="91"/>
      <c r="M300" s="92"/>
      <c r="N300" s="92"/>
      <c r="O300" s="93">
        <v>0</v>
      </c>
      <c r="P300" s="86"/>
      <c r="Q300" s="82">
        <f t="shared" si="17"/>
        <v>295</v>
      </c>
    </row>
    <row r="301" spans="1:17" ht="20.25" customHeight="1">
      <c r="A301" s="85"/>
      <c r="B301" s="102"/>
      <c r="C301" s="86"/>
      <c r="D301" s="87"/>
      <c r="E301" s="88" t="str">
        <f>IFERROR(VLOOKUP(D301,ProductMaster!$A:$B,2,FALSE),"")</f>
        <v/>
      </c>
      <c r="F301" s="88" t="str">
        <f>IFERROR(VLOOKUP(D301,ProductMaster!$A:$C,3,FALSE),"")</f>
        <v/>
      </c>
      <c r="G301" s="89" t="str">
        <f>IFERROR(VLOOKUP($D301,ProductMaster!$A:$O,4,FALSE),"")</f>
        <v/>
      </c>
      <c r="H301" s="90"/>
      <c r="I301" s="123">
        <f>IFERROR(VLOOKUP(E301,ProductMaster!B:G,6,FALSE),0)</f>
        <v>0</v>
      </c>
      <c r="J301" s="123">
        <f t="shared" si="16"/>
        <v>0</v>
      </c>
      <c r="K301" s="123">
        <f t="shared" si="18"/>
        <v>0</v>
      </c>
      <c r="L301" s="91"/>
      <c r="M301" s="92"/>
      <c r="N301" s="92"/>
      <c r="O301" s="93">
        <v>0</v>
      </c>
      <c r="P301" s="86"/>
      <c r="Q301" s="82">
        <f t="shared" si="17"/>
        <v>296</v>
      </c>
    </row>
    <row r="302" spans="1:17" ht="20.25" customHeight="1">
      <c r="A302" s="85"/>
      <c r="B302" s="102"/>
      <c r="C302" s="86"/>
      <c r="D302" s="87"/>
      <c r="E302" s="88" t="str">
        <f>IFERROR(VLOOKUP(D302,ProductMaster!$A:$B,2,FALSE),"")</f>
        <v/>
      </c>
      <c r="F302" s="88" t="str">
        <f>IFERROR(VLOOKUP(D302,ProductMaster!$A:$C,3,FALSE),"")</f>
        <v/>
      </c>
      <c r="G302" s="89" t="str">
        <f>IFERROR(VLOOKUP($D302,ProductMaster!$A:$O,4,FALSE),"")</f>
        <v/>
      </c>
      <c r="H302" s="90"/>
      <c r="I302" s="123">
        <f>IFERROR(VLOOKUP(E302,ProductMaster!B:G,6,FALSE),0)</f>
        <v>0</v>
      </c>
      <c r="J302" s="123">
        <f t="shared" si="16"/>
        <v>0</v>
      </c>
      <c r="K302" s="123">
        <f t="shared" si="18"/>
        <v>0</v>
      </c>
      <c r="L302" s="91"/>
      <c r="M302" s="92"/>
      <c r="N302" s="92"/>
      <c r="O302" s="93">
        <v>0</v>
      </c>
      <c r="P302" s="86"/>
      <c r="Q302" s="82">
        <f t="shared" si="17"/>
        <v>297</v>
      </c>
    </row>
    <row r="303" spans="1:17" ht="20.25" customHeight="1">
      <c r="A303" s="85"/>
      <c r="B303" s="102"/>
      <c r="C303" s="86"/>
      <c r="D303" s="87"/>
      <c r="E303" s="88" t="str">
        <f>IFERROR(VLOOKUP(D303,ProductMaster!$A:$B,2,FALSE),"")</f>
        <v/>
      </c>
      <c r="F303" s="88" t="str">
        <f>IFERROR(VLOOKUP(D303,ProductMaster!$A:$C,3,FALSE),"")</f>
        <v/>
      </c>
      <c r="G303" s="89" t="str">
        <f>IFERROR(VLOOKUP($D303,ProductMaster!$A:$O,4,FALSE),"")</f>
        <v/>
      </c>
      <c r="H303" s="90"/>
      <c r="I303" s="123">
        <f>IFERROR(VLOOKUP(E303,ProductMaster!B:G,6,FALSE),0)</f>
        <v>0</v>
      </c>
      <c r="J303" s="123">
        <f t="shared" si="16"/>
        <v>0</v>
      </c>
      <c r="K303" s="123">
        <f t="shared" si="18"/>
        <v>0</v>
      </c>
      <c r="L303" s="91"/>
      <c r="M303" s="92"/>
      <c r="N303" s="92"/>
      <c r="O303" s="93">
        <v>0</v>
      </c>
      <c r="P303" s="86"/>
      <c r="Q303" s="82">
        <f t="shared" si="17"/>
        <v>298</v>
      </c>
    </row>
    <row r="304" spans="1:17" ht="20.25" customHeight="1">
      <c r="A304" s="85"/>
      <c r="B304" s="102"/>
      <c r="C304" s="86"/>
      <c r="D304" s="87"/>
      <c r="E304" s="88" t="str">
        <f>IFERROR(VLOOKUP(D304,ProductMaster!$A:$B,2,FALSE),"")</f>
        <v/>
      </c>
      <c r="F304" s="88" t="str">
        <f>IFERROR(VLOOKUP(D304,ProductMaster!$A:$C,3,FALSE),"")</f>
        <v/>
      </c>
      <c r="G304" s="89" t="str">
        <f>IFERROR(VLOOKUP($D304,ProductMaster!$A:$O,4,FALSE),"")</f>
        <v/>
      </c>
      <c r="H304" s="90"/>
      <c r="I304" s="123">
        <f>IFERROR(VLOOKUP(E304,ProductMaster!B:G,6,FALSE),0)</f>
        <v>0</v>
      </c>
      <c r="J304" s="123">
        <f t="shared" si="16"/>
        <v>0</v>
      </c>
      <c r="K304" s="123">
        <f t="shared" si="18"/>
        <v>0</v>
      </c>
      <c r="L304" s="91"/>
      <c r="M304" s="92"/>
      <c r="N304" s="92"/>
      <c r="O304" s="93">
        <v>0</v>
      </c>
      <c r="P304" s="86"/>
      <c r="Q304" s="82">
        <f t="shared" si="17"/>
        <v>299</v>
      </c>
    </row>
    <row r="305" spans="1:17" ht="20.25" customHeight="1">
      <c r="A305" s="85"/>
      <c r="B305" s="102"/>
      <c r="C305" s="86"/>
      <c r="D305" s="87"/>
      <c r="E305" s="88" t="str">
        <f>IFERROR(VLOOKUP(D305,ProductMaster!$A:$B,2,FALSE),"")</f>
        <v/>
      </c>
      <c r="F305" s="88" t="str">
        <f>IFERROR(VLOOKUP(D305,ProductMaster!$A:$C,3,FALSE),"")</f>
        <v/>
      </c>
      <c r="G305" s="89" t="str">
        <f>IFERROR(VLOOKUP($D305,ProductMaster!$A:$O,4,FALSE),"")</f>
        <v/>
      </c>
      <c r="H305" s="90"/>
      <c r="I305" s="123">
        <f>IFERROR(VLOOKUP(E305,ProductMaster!B:G,6,FALSE),0)</f>
        <v>0</v>
      </c>
      <c r="J305" s="123">
        <f t="shared" si="16"/>
        <v>0</v>
      </c>
      <c r="K305" s="123">
        <f t="shared" si="18"/>
        <v>0</v>
      </c>
      <c r="L305" s="91"/>
      <c r="M305" s="92"/>
      <c r="N305" s="92"/>
      <c r="O305" s="93">
        <v>0</v>
      </c>
      <c r="P305" s="86"/>
      <c r="Q305" s="82">
        <f t="shared" si="17"/>
        <v>300</v>
      </c>
    </row>
    <row r="306" spans="1:17" ht="20.25" customHeight="1">
      <c r="A306" s="85"/>
      <c r="B306" s="102"/>
      <c r="C306" s="86"/>
      <c r="D306" s="87"/>
      <c r="E306" s="88" t="str">
        <f>IFERROR(VLOOKUP(D306,ProductMaster!$A:$B,2,FALSE),"")</f>
        <v/>
      </c>
      <c r="F306" s="88" t="str">
        <f>IFERROR(VLOOKUP(D306,ProductMaster!$A:$C,3,FALSE),"")</f>
        <v/>
      </c>
      <c r="G306" s="89" t="str">
        <f>IFERROR(VLOOKUP($D306,ProductMaster!$A:$O,4,FALSE),"")</f>
        <v/>
      </c>
      <c r="H306" s="90"/>
      <c r="I306" s="123">
        <f>IFERROR(VLOOKUP(E306,ProductMaster!B:G,6,FALSE),0)</f>
        <v>0</v>
      </c>
      <c r="J306" s="123">
        <f t="shared" si="16"/>
        <v>0</v>
      </c>
      <c r="K306" s="123">
        <f t="shared" si="18"/>
        <v>0</v>
      </c>
      <c r="L306" s="91"/>
      <c r="M306" s="92"/>
      <c r="N306" s="92"/>
      <c r="O306" s="93">
        <v>0</v>
      </c>
      <c r="P306" s="86"/>
      <c r="Q306" s="82">
        <f t="shared" si="17"/>
        <v>301</v>
      </c>
    </row>
    <row r="307" spans="1:17" ht="20.25" customHeight="1">
      <c r="A307" s="85"/>
      <c r="B307" s="102"/>
      <c r="C307" s="86"/>
      <c r="D307" s="87"/>
      <c r="E307" s="88" t="str">
        <f>IFERROR(VLOOKUP(D307,ProductMaster!$A:$B,2,FALSE),"")</f>
        <v/>
      </c>
      <c r="F307" s="88" t="str">
        <f>IFERROR(VLOOKUP(D307,ProductMaster!$A:$C,3,FALSE),"")</f>
        <v/>
      </c>
      <c r="G307" s="89" t="str">
        <f>IFERROR(VLOOKUP($D307,ProductMaster!$A:$O,4,FALSE),"")</f>
        <v/>
      </c>
      <c r="H307" s="90"/>
      <c r="I307" s="123">
        <f>IFERROR(VLOOKUP(E307,ProductMaster!B:G,6,FALSE),0)</f>
        <v>0</v>
      </c>
      <c r="J307" s="123">
        <f t="shared" si="16"/>
        <v>0</v>
      </c>
      <c r="K307" s="123">
        <f t="shared" si="18"/>
        <v>0</v>
      </c>
      <c r="L307" s="91"/>
      <c r="M307" s="92"/>
      <c r="N307" s="92"/>
      <c r="O307" s="93">
        <v>0</v>
      </c>
      <c r="P307" s="86"/>
      <c r="Q307" s="82">
        <f t="shared" si="17"/>
        <v>302</v>
      </c>
    </row>
    <row r="308" spans="1:17" ht="20.25" customHeight="1">
      <c r="A308" s="85"/>
      <c r="B308" s="102"/>
      <c r="C308" s="86"/>
      <c r="D308" s="87"/>
      <c r="E308" s="88" t="str">
        <f>IFERROR(VLOOKUP(D308,ProductMaster!$A:$B,2,FALSE),"")</f>
        <v/>
      </c>
      <c r="F308" s="88" t="str">
        <f>IFERROR(VLOOKUP(D308,ProductMaster!$A:$C,3,FALSE),"")</f>
        <v/>
      </c>
      <c r="G308" s="89" t="str">
        <f>IFERROR(VLOOKUP($D308,ProductMaster!$A:$O,4,FALSE),"")</f>
        <v/>
      </c>
      <c r="H308" s="90"/>
      <c r="I308" s="123">
        <f>IFERROR(VLOOKUP(E308,ProductMaster!B:G,6,FALSE),0)</f>
        <v>0</v>
      </c>
      <c r="J308" s="123">
        <f t="shared" si="16"/>
        <v>0</v>
      </c>
      <c r="K308" s="123">
        <f t="shared" si="18"/>
        <v>0</v>
      </c>
      <c r="L308" s="91"/>
      <c r="M308" s="92"/>
      <c r="N308" s="92"/>
      <c r="O308" s="93">
        <v>0</v>
      </c>
      <c r="P308" s="86"/>
      <c r="Q308" s="82">
        <f t="shared" si="17"/>
        <v>303</v>
      </c>
    </row>
    <row r="309" spans="1:17" ht="20.25" customHeight="1">
      <c r="A309" s="85"/>
      <c r="B309" s="102"/>
      <c r="C309" s="86"/>
      <c r="D309" s="87"/>
      <c r="E309" s="88" t="str">
        <f>IFERROR(VLOOKUP(D309,ProductMaster!$A:$B,2,FALSE),"")</f>
        <v/>
      </c>
      <c r="F309" s="88" t="str">
        <f>IFERROR(VLOOKUP(D309,ProductMaster!$A:$C,3,FALSE),"")</f>
        <v/>
      </c>
      <c r="G309" s="89" t="str">
        <f>IFERROR(VLOOKUP($D309,ProductMaster!$A:$O,4,FALSE),"")</f>
        <v/>
      </c>
      <c r="H309" s="90"/>
      <c r="I309" s="123">
        <f>IFERROR(VLOOKUP(E309,ProductMaster!B:G,6,FALSE),0)</f>
        <v>0</v>
      </c>
      <c r="J309" s="123">
        <f t="shared" si="16"/>
        <v>0</v>
      </c>
      <c r="K309" s="123">
        <f t="shared" si="18"/>
        <v>0</v>
      </c>
      <c r="L309" s="91"/>
      <c r="M309" s="92"/>
      <c r="N309" s="92"/>
      <c r="O309" s="93">
        <v>0</v>
      </c>
      <c r="P309" s="86"/>
      <c r="Q309" s="82">
        <f t="shared" si="17"/>
        <v>304</v>
      </c>
    </row>
    <row r="310" spans="1:17" ht="20.25" customHeight="1">
      <c r="A310" s="85"/>
      <c r="B310" s="102"/>
      <c r="C310" s="86"/>
      <c r="D310" s="87"/>
      <c r="E310" s="88" t="str">
        <f>IFERROR(VLOOKUP(D310,ProductMaster!$A:$B,2,FALSE),"")</f>
        <v/>
      </c>
      <c r="F310" s="88" t="str">
        <f>IFERROR(VLOOKUP(D310,ProductMaster!$A:$C,3,FALSE),"")</f>
        <v/>
      </c>
      <c r="G310" s="89" t="str">
        <f>IFERROR(VLOOKUP($D310,ProductMaster!$A:$O,4,FALSE),"")</f>
        <v/>
      </c>
      <c r="H310" s="90"/>
      <c r="I310" s="123">
        <f>IFERROR(VLOOKUP(E310,ProductMaster!B:G,6,FALSE),0)</f>
        <v>0</v>
      </c>
      <c r="J310" s="123">
        <f t="shared" si="16"/>
        <v>0</v>
      </c>
      <c r="K310" s="123">
        <f t="shared" si="18"/>
        <v>0</v>
      </c>
      <c r="L310" s="91"/>
      <c r="M310" s="92"/>
      <c r="N310" s="92"/>
      <c r="O310" s="93">
        <v>0</v>
      </c>
      <c r="P310" s="86"/>
      <c r="Q310" s="82">
        <f t="shared" si="17"/>
        <v>305</v>
      </c>
    </row>
    <row r="311" spans="1:17" ht="20.25" customHeight="1">
      <c r="A311" s="85"/>
      <c r="B311" s="102"/>
      <c r="C311" s="86"/>
      <c r="D311" s="87"/>
      <c r="E311" s="88" t="str">
        <f>IFERROR(VLOOKUP(D311,ProductMaster!$A:$B,2,FALSE),"")</f>
        <v/>
      </c>
      <c r="F311" s="88" t="str">
        <f>IFERROR(VLOOKUP(D311,ProductMaster!$A:$C,3,FALSE),"")</f>
        <v/>
      </c>
      <c r="G311" s="89" t="str">
        <f>IFERROR(VLOOKUP($D311,ProductMaster!$A:$O,4,FALSE),"")</f>
        <v/>
      </c>
      <c r="H311" s="90"/>
      <c r="I311" s="123">
        <f>IFERROR(VLOOKUP(E311,ProductMaster!B:G,6,FALSE),0)</f>
        <v>0</v>
      </c>
      <c r="J311" s="123">
        <f t="shared" si="16"/>
        <v>0</v>
      </c>
      <c r="K311" s="123">
        <f t="shared" si="18"/>
        <v>0</v>
      </c>
      <c r="L311" s="91"/>
      <c r="M311" s="92"/>
      <c r="N311" s="92"/>
      <c r="O311" s="93">
        <v>0</v>
      </c>
      <c r="P311" s="86"/>
      <c r="Q311" s="82">
        <f t="shared" si="17"/>
        <v>306</v>
      </c>
    </row>
    <row r="312" spans="1:17" ht="20.25" customHeight="1">
      <c r="A312" s="85"/>
      <c r="B312" s="102"/>
      <c r="C312" s="86"/>
      <c r="D312" s="87"/>
      <c r="E312" s="88" t="str">
        <f>IFERROR(VLOOKUP(D312,ProductMaster!$A:$B,2,FALSE),"")</f>
        <v/>
      </c>
      <c r="F312" s="88" t="str">
        <f>IFERROR(VLOOKUP(D312,ProductMaster!$A:$C,3,FALSE),"")</f>
        <v/>
      </c>
      <c r="G312" s="89" t="str">
        <f>IFERROR(VLOOKUP($D312,ProductMaster!$A:$O,4,FALSE),"")</f>
        <v/>
      </c>
      <c r="H312" s="90"/>
      <c r="I312" s="123">
        <f>IFERROR(VLOOKUP(E312,ProductMaster!B:G,6,FALSE),0)</f>
        <v>0</v>
      </c>
      <c r="J312" s="123">
        <f t="shared" si="16"/>
        <v>0</v>
      </c>
      <c r="K312" s="123">
        <f t="shared" si="18"/>
        <v>0</v>
      </c>
      <c r="L312" s="91"/>
      <c r="M312" s="92"/>
      <c r="N312" s="92"/>
      <c r="O312" s="93">
        <v>0</v>
      </c>
      <c r="P312" s="86"/>
      <c r="Q312" s="82">
        <f t="shared" si="17"/>
        <v>307</v>
      </c>
    </row>
    <row r="313" spans="1:17" ht="20.25" customHeight="1">
      <c r="A313" s="85"/>
      <c r="B313" s="102"/>
      <c r="C313" s="86"/>
      <c r="D313" s="87"/>
      <c r="E313" s="88" t="str">
        <f>IFERROR(VLOOKUP(D313,ProductMaster!$A:$B,2,FALSE),"")</f>
        <v/>
      </c>
      <c r="F313" s="88" t="str">
        <f>IFERROR(VLOOKUP(D313,ProductMaster!$A:$C,3,FALSE),"")</f>
        <v/>
      </c>
      <c r="G313" s="89" t="str">
        <f>IFERROR(VLOOKUP($D313,ProductMaster!$A:$O,4,FALSE),"")</f>
        <v/>
      </c>
      <c r="H313" s="90"/>
      <c r="I313" s="123">
        <f>IFERROR(VLOOKUP(E313,ProductMaster!B:G,6,FALSE),0)</f>
        <v>0</v>
      </c>
      <c r="J313" s="123">
        <f t="shared" si="16"/>
        <v>0</v>
      </c>
      <c r="K313" s="123">
        <f t="shared" si="18"/>
        <v>0</v>
      </c>
      <c r="L313" s="91"/>
      <c r="M313" s="92"/>
      <c r="N313" s="92"/>
      <c r="O313" s="93">
        <v>0</v>
      </c>
      <c r="P313" s="86"/>
      <c r="Q313" s="82">
        <f t="shared" si="17"/>
        <v>308</v>
      </c>
    </row>
    <row r="314" spans="1:17" ht="20.25" customHeight="1">
      <c r="A314" s="85"/>
      <c r="B314" s="102"/>
      <c r="C314" s="86"/>
      <c r="D314" s="87"/>
      <c r="E314" s="88" t="str">
        <f>IFERROR(VLOOKUP(D314,ProductMaster!$A:$B,2,FALSE),"")</f>
        <v/>
      </c>
      <c r="F314" s="88" t="str">
        <f>IFERROR(VLOOKUP(D314,ProductMaster!$A:$C,3,FALSE),"")</f>
        <v/>
      </c>
      <c r="G314" s="89" t="str">
        <f>IFERROR(VLOOKUP($D314,ProductMaster!$A:$O,4,FALSE),"")</f>
        <v/>
      </c>
      <c r="H314" s="90"/>
      <c r="I314" s="123">
        <f>IFERROR(VLOOKUP(E314,ProductMaster!B:G,6,FALSE),0)</f>
        <v>0</v>
      </c>
      <c r="J314" s="123">
        <f t="shared" si="16"/>
        <v>0</v>
      </c>
      <c r="K314" s="123">
        <f t="shared" si="18"/>
        <v>0</v>
      </c>
      <c r="L314" s="91"/>
      <c r="M314" s="92"/>
      <c r="N314" s="92"/>
      <c r="O314" s="93">
        <v>0</v>
      </c>
      <c r="P314" s="86"/>
      <c r="Q314" s="82">
        <f t="shared" si="17"/>
        <v>309</v>
      </c>
    </row>
    <row r="315" spans="1:17" ht="20.25" customHeight="1">
      <c r="A315" s="85"/>
      <c r="B315" s="102"/>
      <c r="C315" s="86"/>
      <c r="D315" s="87"/>
      <c r="E315" s="88" t="str">
        <f>IFERROR(VLOOKUP(D315,ProductMaster!$A:$B,2,FALSE),"")</f>
        <v/>
      </c>
      <c r="F315" s="88" t="str">
        <f>IFERROR(VLOOKUP(D315,ProductMaster!$A:$C,3,FALSE),"")</f>
        <v/>
      </c>
      <c r="G315" s="89" t="str">
        <f>IFERROR(VLOOKUP($D315,ProductMaster!$A:$O,4,FALSE),"")</f>
        <v/>
      </c>
      <c r="H315" s="90"/>
      <c r="I315" s="123">
        <f>IFERROR(VLOOKUP(E315,ProductMaster!B:G,6,FALSE),0)</f>
        <v>0</v>
      </c>
      <c r="J315" s="123">
        <f t="shared" si="16"/>
        <v>0</v>
      </c>
      <c r="K315" s="123">
        <f t="shared" si="18"/>
        <v>0</v>
      </c>
      <c r="L315" s="91"/>
      <c r="M315" s="92"/>
      <c r="N315" s="92"/>
      <c r="O315" s="93">
        <v>0</v>
      </c>
      <c r="P315" s="86"/>
      <c r="Q315" s="82">
        <f t="shared" si="17"/>
        <v>310</v>
      </c>
    </row>
    <row r="316" spans="1:17" ht="20.25" customHeight="1">
      <c r="A316" s="85"/>
      <c r="B316" s="102"/>
      <c r="C316" s="86"/>
      <c r="D316" s="87"/>
      <c r="E316" s="88" t="str">
        <f>IFERROR(VLOOKUP(D316,ProductMaster!$A:$B,2,FALSE),"")</f>
        <v/>
      </c>
      <c r="F316" s="88" t="str">
        <f>IFERROR(VLOOKUP(D316,ProductMaster!$A:$C,3,FALSE),"")</f>
        <v/>
      </c>
      <c r="G316" s="89" t="str">
        <f>IFERROR(VLOOKUP($D316,ProductMaster!$A:$O,4,FALSE),"")</f>
        <v/>
      </c>
      <c r="H316" s="90"/>
      <c r="I316" s="123">
        <f>IFERROR(VLOOKUP(E316,ProductMaster!B:G,6,FALSE),0)</f>
        <v>0</v>
      </c>
      <c r="J316" s="123">
        <f t="shared" si="16"/>
        <v>0</v>
      </c>
      <c r="K316" s="123">
        <f t="shared" si="18"/>
        <v>0</v>
      </c>
      <c r="L316" s="91"/>
      <c r="M316" s="92"/>
      <c r="N316" s="92"/>
      <c r="O316" s="93">
        <v>0</v>
      </c>
      <c r="P316" s="86"/>
      <c r="Q316" s="82">
        <f t="shared" si="17"/>
        <v>311</v>
      </c>
    </row>
    <row r="317" spans="1:17" ht="20.25" customHeight="1">
      <c r="A317" s="85"/>
      <c r="B317" s="102"/>
      <c r="C317" s="86"/>
      <c r="D317" s="87"/>
      <c r="E317" s="88" t="str">
        <f>IFERROR(VLOOKUP(D317,ProductMaster!$A:$B,2,FALSE),"")</f>
        <v/>
      </c>
      <c r="F317" s="88" t="str">
        <f>IFERROR(VLOOKUP(D317,ProductMaster!$A:$C,3,FALSE),"")</f>
        <v/>
      </c>
      <c r="G317" s="89" t="str">
        <f>IFERROR(VLOOKUP($D317,ProductMaster!$A:$O,4,FALSE),"")</f>
        <v/>
      </c>
      <c r="H317" s="90"/>
      <c r="I317" s="123">
        <f>IFERROR(VLOOKUP(E317,ProductMaster!B:G,6,FALSE),0)</f>
        <v>0</v>
      </c>
      <c r="J317" s="123">
        <f t="shared" si="16"/>
        <v>0</v>
      </c>
      <c r="K317" s="123">
        <f t="shared" si="18"/>
        <v>0</v>
      </c>
      <c r="L317" s="91"/>
      <c r="M317" s="92"/>
      <c r="N317" s="92"/>
      <c r="O317" s="93">
        <v>0</v>
      </c>
      <c r="P317" s="86"/>
      <c r="Q317" s="82">
        <f t="shared" si="17"/>
        <v>312</v>
      </c>
    </row>
    <row r="318" spans="1:17" ht="20.25" customHeight="1">
      <c r="A318" s="85"/>
      <c r="B318" s="102"/>
      <c r="C318" s="86"/>
      <c r="D318" s="87"/>
      <c r="E318" s="88" t="str">
        <f>IFERROR(VLOOKUP(D318,ProductMaster!$A:$B,2,FALSE),"")</f>
        <v/>
      </c>
      <c r="F318" s="88" t="str">
        <f>IFERROR(VLOOKUP(D318,ProductMaster!$A:$C,3,FALSE),"")</f>
        <v/>
      </c>
      <c r="G318" s="89" t="str">
        <f>IFERROR(VLOOKUP($D318,ProductMaster!$A:$O,4,FALSE),"")</f>
        <v/>
      </c>
      <c r="H318" s="90"/>
      <c r="I318" s="123">
        <f>IFERROR(VLOOKUP(E318,ProductMaster!B:G,6,FALSE),0)</f>
        <v>0</v>
      </c>
      <c r="J318" s="123">
        <f t="shared" si="16"/>
        <v>0</v>
      </c>
      <c r="K318" s="123">
        <f t="shared" si="18"/>
        <v>0</v>
      </c>
      <c r="L318" s="91"/>
      <c r="M318" s="92"/>
      <c r="N318" s="92"/>
      <c r="O318" s="93">
        <v>0</v>
      </c>
      <c r="P318" s="86"/>
      <c r="Q318" s="82">
        <f t="shared" si="17"/>
        <v>313</v>
      </c>
    </row>
    <row r="319" spans="1:17" ht="20.25" customHeight="1">
      <c r="A319" s="85"/>
      <c r="B319" s="102"/>
      <c r="C319" s="86"/>
      <c r="D319" s="87"/>
      <c r="E319" s="88" t="str">
        <f>IFERROR(VLOOKUP(D319,ProductMaster!$A:$B,2,FALSE),"")</f>
        <v/>
      </c>
      <c r="F319" s="88" t="str">
        <f>IFERROR(VLOOKUP(D319,ProductMaster!$A:$C,3,FALSE),"")</f>
        <v/>
      </c>
      <c r="G319" s="89" t="str">
        <f>IFERROR(VLOOKUP($D319,ProductMaster!$A:$O,4,FALSE),"")</f>
        <v/>
      </c>
      <c r="H319" s="90"/>
      <c r="I319" s="123">
        <f>IFERROR(VLOOKUP(E319,ProductMaster!B:G,6,FALSE),0)</f>
        <v>0</v>
      </c>
      <c r="J319" s="123">
        <f t="shared" si="16"/>
        <v>0</v>
      </c>
      <c r="K319" s="123">
        <f t="shared" si="18"/>
        <v>0</v>
      </c>
      <c r="L319" s="91"/>
      <c r="M319" s="92"/>
      <c r="N319" s="92"/>
      <c r="O319" s="93">
        <v>0</v>
      </c>
      <c r="P319" s="86"/>
      <c r="Q319" s="82">
        <f t="shared" si="17"/>
        <v>314</v>
      </c>
    </row>
    <row r="320" spans="1:17" ht="20.25" customHeight="1">
      <c r="A320" s="85"/>
      <c r="B320" s="102"/>
      <c r="C320" s="86"/>
      <c r="D320" s="87"/>
      <c r="E320" s="88" t="str">
        <f>IFERROR(VLOOKUP(D320,ProductMaster!$A:$B,2,FALSE),"")</f>
        <v/>
      </c>
      <c r="F320" s="88" t="str">
        <f>IFERROR(VLOOKUP(D320,ProductMaster!$A:$C,3,FALSE),"")</f>
        <v/>
      </c>
      <c r="G320" s="89" t="str">
        <f>IFERROR(VLOOKUP($D320,ProductMaster!$A:$O,4,FALSE),"")</f>
        <v/>
      </c>
      <c r="H320" s="90"/>
      <c r="I320" s="123">
        <f>IFERROR(VLOOKUP(E320,ProductMaster!B:G,6,FALSE),0)</f>
        <v>0</v>
      </c>
      <c r="J320" s="123">
        <f t="shared" si="16"/>
        <v>0</v>
      </c>
      <c r="K320" s="123">
        <f t="shared" si="18"/>
        <v>0</v>
      </c>
      <c r="L320" s="91"/>
      <c r="M320" s="92"/>
      <c r="N320" s="92"/>
      <c r="O320" s="93">
        <v>0</v>
      </c>
      <c r="P320" s="86"/>
      <c r="Q320" s="82">
        <f t="shared" si="17"/>
        <v>315</v>
      </c>
    </row>
    <row r="321" spans="1:17" ht="20.25" customHeight="1">
      <c r="A321" s="85"/>
      <c r="B321" s="102"/>
      <c r="C321" s="86"/>
      <c r="D321" s="87"/>
      <c r="E321" s="88" t="str">
        <f>IFERROR(VLOOKUP(D321,ProductMaster!$A:$B,2,FALSE),"")</f>
        <v/>
      </c>
      <c r="F321" s="88" t="str">
        <f>IFERROR(VLOOKUP(D321,ProductMaster!$A:$C,3,FALSE),"")</f>
        <v/>
      </c>
      <c r="G321" s="89" t="str">
        <f>IFERROR(VLOOKUP($D321,ProductMaster!$A:$O,4,FALSE),"")</f>
        <v/>
      </c>
      <c r="H321" s="90"/>
      <c r="I321" s="123">
        <f>IFERROR(VLOOKUP(E321,ProductMaster!B:G,6,FALSE),0)</f>
        <v>0</v>
      </c>
      <c r="J321" s="123">
        <f t="shared" si="16"/>
        <v>0</v>
      </c>
      <c r="K321" s="123">
        <f t="shared" si="18"/>
        <v>0</v>
      </c>
      <c r="L321" s="91"/>
      <c r="M321" s="92"/>
      <c r="N321" s="92"/>
      <c r="O321" s="93">
        <v>0</v>
      </c>
      <c r="P321" s="86"/>
      <c r="Q321" s="82">
        <f t="shared" si="17"/>
        <v>316</v>
      </c>
    </row>
    <row r="322" spans="1:17" ht="20.25" customHeight="1">
      <c r="A322" s="85"/>
      <c r="B322" s="102"/>
      <c r="C322" s="86"/>
      <c r="D322" s="87"/>
      <c r="E322" s="88" t="str">
        <f>IFERROR(VLOOKUP(D322,ProductMaster!$A:$B,2,FALSE),"")</f>
        <v/>
      </c>
      <c r="F322" s="88" t="str">
        <f>IFERROR(VLOOKUP(D322,ProductMaster!$A:$C,3,FALSE),"")</f>
        <v/>
      </c>
      <c r="G322" s="89" t="str">
        <f>IFERROR(VLOOKUP($D322,ProductMaster!$A:$O,4,FALSE),"")</f>
        <v/>
      </c>
      <c r="H322" s="90"/>
      <c r="I322" s="123">
        <f>IFERROR(VLOOKUP(E322,ProductMaster!B:G,6,FALSE),0)</f>
        <v>0</v>
      </c>
      <c r="J322" s="123">
        <f t="shared" si="16"/>
        <v>0</v>
      </c>
      <c r="K322" s="123">
        <f t="shared" si="18"/>
        <v>0</v>
      </c>
      <c r="L322" s="91"/>
      <c r="M322" s="92"/>
      <c r="N322" s="92"/>
      <c r="O322" s="93">
        <v>0</v>
      </c>
      <c r="P322" s="86"/>
      <c r="Q322" s="82">
        <f t="shared" si="17"/>
        <v>317</v>
      </c>
    </row>
    <row r="323" spans="1:17" ht="20.25" customHeight="1">
      <c r="A323" s="85"/>
      <c r="B323" s="102"/>
      <c r="C323" s="86"/>
      <c r="D323" s="87"/>
      <c r="E323" s="88" t="str">
        <f>IFERROR(VLOOKUP(D323,ProductMaster!$A:$B,2,FALSE),"")</f>
        <v/>
      </c>
      <c r="F323" s="88" t="str">
        <f>IFERROR(VLOOKUP(D323,ProductMaster!$A:$C,3,FALSE),"")</f>
        <v/>
      </c>
      <c r="G323" s="89" t="str">
        <f>IFERROR(VLOOKUP($D323,ProductMaster!$A:$O,4,FALSE),"")</f>
        <v/>
      </c>
      <c r="H323" s="90"/>
      <c r="I323" s="123">
        <f>IFERROR(VLOOKUP(E323,ProductMaster!B:G,6,FALSE),0)</f>
        <v>0</v>
      </c>
      <c r="J323" s="123">
        <f t="shared" ref="J323:J386" si="19">ROUND(SUM(I323*7%),2)</f>
        <v>0</v>
      </c>
      <c r="K323" s="123">
        <f t="shared" si="18"/>
        <v>0</v>
      </c>
      <c r="L323" s="91"/>
      <c r="M323" s="92"/>
      <c r="N323" s="92"/>
      <c r="O323" s="93">
        <v>0</v>
      </c>
      <c r="P323" s="86"/>
      <c r="Q323" s="82">
        <f t="shared" ref="Q323:Q386" si="20">IF(B323=B322,Q322+1,1)</f>
        <v>318</v>
      </c>
    </row>
    <row r="324" spans="1:17" ht="20.25" customHeight="1">
      <c r="A324" s="85"/>
      <c r="B324" s="102"/>
      <c r="C324" s="86"/>
      <c r="D324" s="87"/>
      <c r="E324" s="88" t="str">
        <f>IFERROR(VLOOKUP(D324,ProductMaster!$A:$B,2,FALSE),"")</f>
        <v/>
      </c>
      <c r="F324" s="88" t="str">
        <f>IFERROR(VLOOKUP(D324,ProductMaster!$A:$C,3,FALSE),"")</f>
        <v/>
      </c>
      <c r="G324" s="89" t="str">
        <f>IFERROR(VLOOKUP($D324,ProductMaster!$A:$O,4,FALSE),"")</f>
        <v/>
      </c>
      <c r="H324" s="90"/>
      <c r="I324" s="123">
        <f>IFERROR(VLOOKUP(E324,ProductMaster!B:G,6,FALSE),0)</f>
        <v>0</v>
      </c>
      <c r="J324" s="123">
        <f t="shared" si="19"/>
        <v>0</v>
      </c>
      <c r="K324" s="123">
        <f t="shared" si="18"/>
        <v>0</v>
      </c>
      <c r="L324" s="91"/>
      <c r="M324" s="92"/>
      <c r="N324" s="92"/>
      <c r="O324" s="93">
        <v>0</v>
      </c>
      <c r="P324" s="86"/>
      <c r="Q324" s="82">
        <f t="shared" si="20"/>
        <v>319</v>
      </c>
    </row>
    <row r="325" spans="1:17" ht="20.25" customHeight="1">
      <c r="A325" s="85"/>
      <c r="B325" s="102"/>
      <c r="C325" s="86"/>
      <c r="D325" s="87"/>
      <c r="E325" s="88" t="str">
        <f>IFERROR(VLOOKUP(D325,ProductMaster!$A:$B,2,FALSE),"")</f>
        <v/>
      </c>
      <c r="F325" s="88" t="str">
        <f>IFERROR(VLOOKUP(D325,ProductMaster!$A:$C,3,FALSE),"")</f>
        <v/>
      </c>
      <c r="G325" s="89" t="str">
        <f>IFERROR(VLOOKUP($D325,ProductMaster!$A:$O,4,FALSE),"")</f>
        <v/>
      </c>
      <c r="H325" s="90"/>
      <c r="I325" s="123">
        <f>IFERROR(VLOOKUP(E325,ProductMaster!B:G,6,FALSE),0)</f>
        <v>0</v>
      </c>
      <c r="J325" s="123">
        <f t="shared" si="19"/>
        <v>0</v>
      </c>
      <c r="K325" s="123">
        <f t="shared" si="18"/>
        <v>0</v>
      </c>
      <c r="L325" s="91"/>
      <c r="M325" s="92"/>
      <c r="N325" s="92"/>
      <c r="O325" s="93">
        <v>0</v>
      </c>
      <c r="P325" s="86"/>
      <c r="Q325" s="82">
        <f t="shared" si="20"/>
        <v>320</v>
      </c>
    </row>
    <row r="326" spans="1:17" ht="20.25" customHeight="1">
      <c r="A326" s="85"/>
      <c r="B326" s="102"/>
      <c r="C326" s="86"/>
      <c r="D326" s="87"/>
      <c r="E326" s="88" t="str">
        <f>IFERROR(VLOOKUP(D326,ProductMaster!$A:$B,2,FALSE),"")</f>
        <v/>
      </c>
      <c r="F326" s="88" t="str">
        <f>IFERROR(VLOOKUP(D326,ProductMaster!$A:$C,3,FALSE),"")</f>
        <v/>
      </c>
      <c r="G326" s="89" t="str">
        <f>IFERROR(VLOOKUP($D326,ProductMaster!$A:$O,4,FALSE),"")</f>
        <v/>
      </c>
      <c r="H326" s="90"/>
      <c r="I326" s="123">
        <f>IFERROR(VLOOKUP(E326,ProductMaster!B:G,6,FALSE),0)</f>
        <v>0</v>
      </c>
      <c r="J326" s="123">
        <f t="shared" si="19"/>
        <v>0</v>
      </c>
      <c r="K326" s="123">
        <f t="shared" si="18"/>
        <v>0</v>
      </c>
      <c r="L326" s="91"/>
      <c r="M326" s="92"/>
      <c r="N326" s="92"/>
      <c r="O326" s="93">
        <v>0</v>
      </c>
      <c r="P326" s="86"/>
      <c r="Q326" s="82">
        <f t="shared" si="20"/>
        <v>321</v>
      </c>
    </row>
    <row r="327" spans="1:17" ht="20.25" customHeight="1">
      <c r="A327" s="85"/>
      <c r="B327" s="102"/>
      <c r="C327" s="86"/>
      <c r="D327" s="87"/>
      <c r="E327" s="88" t="str">
        <f>IFERROR(VLOOKUP(D327,ProductMaster!$A:$B,2,FALSE),"")</f>
        <v/>
      </c>
      <c r="F327" s="88" t="str">
        <f>IFERROR(VLOOKUP(D327,ProductMaster!$A:$C,3,FALSE),"")</f>
        <v/>
      </c>
      <c r="G327" s="89" t="str">
        <f>IFERROR(VLOOKUP($D327,ProductMaster!$A:$O,4,FALSE),"")</f>
        <v/>
      </c>
      <c r="H327" s="90"/>
      <c r="I327" s="123">
        <f>IFERROR(VLOOKUP(E327,ProductMaster!B:G,6,FALSE),0)</f>
        <v>0</v>
      </c>
      <c r="J327" s="123">
        <f t="shared" si="19"/>
        <v>0</v>
      </c>
      <c r="K327" s="123">
        <f t="shared" si="18"/>
        <v>0</v>
      </c>
      <c r="L327" s="91"/>
      <c r="M327" s="92"/>
      <c r="N327" s="92"/>
      <c r="O327" s="93">
        <v>0</v>
      </c>
      <c r="P327" s="86"/>
      <c r="Q327" s="82">
        <f t="shared" si="20"/>
        <v>322</v>
      </c>
    </row>
    <row r="328" spans="1:17" ht="20.25" customHeight="1">
      <c r="A328" s="85"/>
      <c r="B328" s="102"/>
      <c r="C328" s="86"/>
      <c r="D328" s="87"/>
      <c r="E328" s="88" t="str">
        <f>IFERROR(VLOOKUP(D328,ProductMaster!$A:$B,2,FALSE),"")</f>
        <v/>
      </c>
      <c r="F328" s="88" t="str">
        <f>IFERROR(VLOOKUP(D328,ProductMaster!$A:$C,3,FALSE),"")</f>
        <v/>
      </c>
      <c r="G328" s="89" t="str">
        <f>IFERROR(VLOOKUP($D328,ProductMaster!$A:$O,4,FALSE),"")</f>
        <v/>
      </c>
      <c r="H328" s="90"/>
      <c r="I328" s="123">
        <f>IFERROR(VLOOKUP(E328,ProductMaster!B:G,6,FALSE),0)</f>
        <v>0</v>
      </c>
      <c r="J328" s="123">
        <f t="shared" si="19"/>
        <v>0</v>
      </c>
      <c r="K328" s="123">
        <f t="shared" si="18"/>
        <v>0</v>
      </c>
      <c r="L328" s="91"/>
      <c r="M328" s="92"/>
      <c r="N328" s="92"/>
      <c r="O328" s="93">
        <v>0</v>
      </c>
      <c r="P328" s="86"/>
      <c r="Q328" s="82">
        <f t="shared" si="20"/>
        <v>323</v>
      </c>
    </row>
    <row r="329" spans="1:17" ht="20.25" customHeight="1">
      <c r="A329" s="85"/>
      <c r="B329" s="102"/>
      <c r="C329" s="86"/>
      <c r="D329" s="87"/>
      <c r="E329" s="88" t="str">
        <f>IFERROR(VLOOKUP(D329,ProductMaster!$A:$B,2,FALSE),"")</f>
        <v/>
      </c>
      <c r="F329" s="88" t="str">
        <f>IFERROR(VLOOKUP(D329,ProductMaster!$A:$C,3,FALSE),"")</f>
        <v/>
      </c>
      <c r="G329" s="89" t="str">
        <f>IFERROR(VLOOKUP($D329,ProductMaster!$A:$O,4,FALSE),"")</f>
        <v/>
      </c>
      <c r="H329" s="90"/>
      <c r="I329" s="123">
        <f>IFERROR(VLOOKUP(E329,ProductMaster!B:G,6,FALSE),0)</f>
        <v>0</v>
      </c>
      <c r="J329" s="123">
        <f t="shared" si="19"/>
        <v>0</v>
      </c>
      <c r="K329" s="123">
        <f t="shared" si="18"/>
        <v>0</v>
      </c>
      <c r="L329" s="91"/>
      <c r="M329" s="92"/>
      <c r="N329" s="92"/>
      <c r="O329" s="93">
        <v>0</v>
      </c>
      <c r="P329" s="86"/>
      <c r="Q329" s="82">
        <f t="shared" si="20"/>
        <v>324</v>
      </c>
    </row>
    <row r="330" spans="1:17" ht="20.25" customHeight="1">
      <c r="A330" s="85"/>
      <c r="B330" s="102"/>
      <c r="C330" s="86"/>
      <c r="D330" s="87"/>
      <c r="E330" s="88" t="str">
        <f>IFERROR(VLOOKUP(D330,ProductMaster!$A:$B,2,FALSE),"")</f>
        <v/>
      </c>
      <c r="F330" s="88" t="str">
        <f>IFERROR(VLOOKUP(D330,ProductMaster!$A:$C,3,FALSE),"")</f>
        <v/>
      </c>
      <c r="G330" s="89" t="str">
        <f>IFERROR(VLOOKUP($D330,ProductMaster!$A:$O,4,FALSE),"")</f>
        <v/>
      </c>
      <c r="H330" s="90"/>
      <c r="I330" s="123">
        <f>IFERROR(VLOOKUP(E330,ProductMaster!B:G,6,FALSE),0)</f>
        <v>0</v>
      </c>
      <c r="J330" s="123">
        <f t="shared" si="19"/>
        <v>0</v>
      </c>
      <c r="K330" s="123">
        <f t="shared" si="18"/>
        <v>0</v>
      </c>
      <c r="L330" s="91"/>
      <c r="M330" s="92"/>
      <c r="N330" s="92"/>
      <c r="O330" s="93">
        <v>0</v>
      </c>
      <c r="P330" s="86"/>
      <c r="Q330" s="82">
        <f t="shared" si="20"/>
        <v>325</v>
      </c>
    </row>
    <row r="331" spans="1:17" ht="20.25" customHeight="1">
      <c r="A331" s="85"/>
      <c r="B331" s="102"/>
      <c r="C331" s="86"/>
      <c r="D331" s="87"/>
      <c r="E331" s="88" t="str">
        <f>IFERROR(VLOOKUP(D331,ProductMaster!$A:$B,2,FALSE),"")</f>
        <v/>
      </c>
      <c r="F331" s="88" t="str">
        <f>IFERROR(VLOOKUP(D331,ProductMaster!$A:$C,3,FALSE),"")</f>
        <v/>
      </c>
      <c r="G331" s="89" t="str">
        <f>IFERROR(VLOOKUP($D331,ProductMaster!$A:$O,4,FALSE),"")</f>
        <v/>
      </c>
      <c r="H331" s="90"/>
      <c r="I331" s="123">
        <f>IFERROR(VLOOKUP(E331,ProductMaster!B:G,6,FALSE),0)</f>
        <v>0</v>
      </c>
      <c r="J331" s="123">
        <f t="shared" si="19"/>
        <v>0</v>
      </c>
      <c r="K331" s="123">
        <f t="shared" si="18"/>
        <v>0</v>
      </c>
      <c r="L331" s="91"/>
      <c r="M331" s="92"/>
      <c r="N331" s="92"/>
      <c r="O331" s="93">
        <v>0</v>
      </c>
      <c r="P331" s="86"/>
      <c r="Q331" s="82">
        <f t="shared" si="20"/>
        <v>326</v>
      </c>
    </row>
    <row r="332" spans="1:17" ht="20.25" customHeight="1">
      <c r="A332" s="85"/>
      <c r="B332" s="102"/>
      <c r="C332" s="86"/>
      <c r="D332" s="87"/>
      <c r="E332" s="88" t="str">
        <f>IFERROR(VLOOKUP(D332,ProductMaster!$A:$B,2,FALSE),"")</f>
        <v/>
      </c>
      <c r="F332" s="88" t="str">
        <f>IFERROR(VLOOKUP(D332,ProductMaster!$A:$C,3,FALSE),"")</f>
        <v/>
      </c>
      <c r="G332" s="89" t="str">
        <f>IFERROR(VLOOKUP($D332,ProductMaster!$A:$O,4,FALSE),"")</f>
        <v/>
      </c>
      <c r="H332" s="90"/>
      <c r="I332" s="123">
        <f>IFERROR(VLOOKUP(E332,ProductMaster!B:G,6,FALSE),0)</f>
        <v>0</v>
      </c>
      <c r="J332" s="123">
        <f t="shared" si="19"/>
        <v>0</v>
      </c>
      <c r="K332" s="123">
        <f t="shared" si="18"/>
        <v>0</v>
      </c>
      <c r="L332" s="91"/>
      <c r="M332" s="92"/>
      <c r="N332" s="92"/>
      <c r="O332" s="93">
        <v>0</v>
      </c>
      <c r="P332" s="86"/>
      <c r="Q332" s="82">
        <f t="shared" si="20"/>
        <v>327</v>
      </c>
    </row>
    <row r="333" spans="1:17" ht="20.25" customHeight="1">
      <c r="A333" s="85"/>
      <c r="B333" s="102"/>
      <c r="C333" s="86"/>
      <c r="D333" s="87"/>
      <c r="E333" s="88" t="str">
        <f>IFERROR(VLOOKUP(D333,ProductMaster!$A:$B,2,FALSE),"")</f>
        <v/>
      </c>
      <c r="F333" s="88" t="str">
        <f>IFERROR(VLOOKUP(D333,ProductMaster!$A:$C,3,FALSE),"")</f>
        <v/>
      </c>
      <c r="G333" s="89" t="str">
        <f>IFERROR(VLOOKUP($D333,ProductMaster!$A:$O,4,FALSE),"")</f>
        <v/>
      </c>
      <c r="H333" s="90"/>
      <c r="I333" s="123">
        <f>IFERROR(VLOOKUP(E333,ProductMaster!B:G,6,FALSE),0)</f>
        <v>0</v>
      </c>
      <c r="J333" s="123">
        <f t="shared" si="19"/>
        <v>0</v>
      </c>
      <c r="K333" s="123">
        <f t="shared" si="18"/>
        <v>0</v>
      </c>
      <c r="L333" s="91"/>
      <c r="M333" s="92"/>
      <c r="N333" s="92"/>
      <c r="O333" s="93">
        <v>0</v>
      </c>
      <c r="P333" s="86"/>
      <c r="Q333" s="82">
        <f t="shared" si="20"/>
        <v>328</v>
      </c>
    </row>
    <row r="334" spans="1:17" ht="20.25" customHeight="1">
      <c r="A334" s="85"/>
      <c r="B334" s="102"/>
      <c r="C334" s="86"/>
      <c r="D334" s="87"/>
      <c r="E334" s="88" t="str">
        <f>IFERROR(VLOOKUP(D334,ProductMaster!$A:$B,2,FALSE),"")</f>
        <v/>
      </c>
      <c r="F334" s="88" t="str">
        <f>IFERROR(VLOOKUP(D334,ProductMaster!$A:$C,3,FALSE),"")</f>
        <v/>
      </c>
      <c r="G334" s="89" t="str">
        <f>IFERROR(VLOOKUP($D334,ProductMaster!$A:$O,4,FALSE),"")</f>
        <v/>
      </c>
      <c r="H334" s="90"/>
      <c r="I334" s="123">
        <f>IFERROR(VLOOKUP(E334,ProductMaster!B:G,6,FALSE),0)</f>
        <v>0</v>
      </c>
      <c r="J334" s="123">
        <f t="shared" si="19"/>
        <v>0</v>
      </c>
      <c r="K334" s="123">
        <f t="shared" si="18"/>
        <v>0</v>
      </c>
      <c r="L334" s="91"/>
      <c r="M334" s="92"/>
      <c r="N334" s="92"/>
      <c r="O334" s="93">
        <v>0</v>
      </c>
      <c r="P334" s="86"/>
      <c r="Q334" s="82">
        <f t="shared" si="20"/>
        <v>329</v>
      </c>
    </row>
    <row r="335" spans="1:17" ht="20.25" customHeight="1">
      <c r="A335" s="85"/>
      <c r="B335" s="102"/>
      <c r="C335" s="86"/>
      <c r="D335" s="87"/>
      <c r="E335" s="88" t="str">
        <f>IFERROR(VLOOKUP(D335,ProductMaster!$A:$B,2,FALSE),"")</f>
        <v/>
      </c>
      <c r="F335" s="88" t="str">
        <f>IFERROR(VLOOKUP(D335,ProductMaster!$A:$C,3,FALSE),"")</f>
        <v/>
      </c>
      <c r="G335" s="89" t="str">
        <f>IFERROR(VLOOKUP($D335,ProductMaster!$A:$O,4,FALSE),"")</f>
        <v/>
      </c>
      <c r="H335" s="90"/>
      <c r="I335" s="123">
        <f>IFERROR(VLOOKUP(E335,ProductMaster!B:G,6,FALSE),0)</f>
        <v>0</v>
      </c>
      <c r="J335" s="123">
        <f t="shared" si="19"/>
        <v>0</v>
      </c>
      <c r="K335" s="123">
        <f t="shared" si="18"/>
        <v>0</v>
      </c>
      <c r="L335" s="91"/>
      <c r="M335" s="92"/>
      <c r="N335" s="92"/>
      <c r="O335" s="93">
        <v>0</v>
      </c>
      <c r="P335" s="86"/>
      <c r="Q335" s="82">
        <f t="shared" si="20"/>
        <v>330</v>
      </c>
    </row>
    <row r="336" spans="1:17" ht="20.25" customHeight="1">
      <c r="A336" s="85"/>
      <c r="B336" s="102"/>
      <c r="C336" s="86"/>
      <c r="D336" s="87"/>
      <c r="E336" s="88" t="str">
        <f>IFERROR(VLOOKUP(D336,ProductMaster!$A:$B,2,FALSE),"")</f>
        <v/>
      </c>
      <c r="F336" s="88" t="str">
        <f>IFERROR(VLOOKUP(D336,ProductMaster!$A:$C,3,FALSE),"")</f>
        <v/>
      </c>
      <c r="G336" s="89" t="str">
        <f>IFERROR(VLOOKUP($D336,ProductMaster!$A:$O,4,FALSE),"")</f>
        <v/>
      </c>
      <c r="H336" s="90"/>
      <c r="I336" s="123">
        <f>IFERROR(VLOOKUP(E336,ProductMaster!B:G,6,FALSE),0)</f>
        <v>0</v>
      </c>
      <c r="J336" s="123">
        <f t="shared" si="19"/>
        <v>0</v>
      </c>
      <c r="K336" s="123">
        <f t="shared" si="18"/>
        <v>0</v>
      </c>
      <c r="L336" s="91"/>
      <c r="M336" s="92"/>
      <c r="N336" s="92"/>
      <c r="O336" s="93">
        <v>0</v>
      </c>
      <c r="P336" s="86"/>
      <c r="Q336" s="82">
        <f t="shared" si="20"/>
        <v>331</v>
      </c>
    </row>
    <row r="337" spans="1:17" ht="20.25" customHeight="1">
      <c r="A337" s="85"/>
      <c r="B337" s="102"/>
      <c r="C337" s="86"/>
      <c r="D337" s="87"/>
      <c r="E337" s="88" t="str">
        <f>IFERROR(VLOOKUP(D337,ProductMaster!$A:$B,2,FALSE),"")</f>
        <v/>
      </c>
      <c r="F337" s="88" t="str">
        <f>IFERROR(VLOOKUP(D337,ProductMaster!$A:$C,3,FALSE),"")</f>
        <v/>
      </c>
      <c r="G337" s="89" t="str">
        <f>IFERROR(VLOOKUP($D337,ProductMaster!$A:$O,4,FALSE),"")</f>
        <v/>
      </c>
      <c r="H337" s="90"/>
      <c r="I337" s="123">
        <f>IFERROR(VLOOKUP(E337,ProductMaster!B:G,6,FALSE),0)</f>
        <v>0</v>
      </c>
      <c r="J337" s="123">
        <f t="shared" si="19"/>
        <v>0</v>
      </c>
      <c r="K337" s="123">
        <f t="shared" ref="K337:K385" si="21">ROUND(SUM(H337*I337),2)</f>
        <v>0</v>
      </c>
      <c r="L337" s="91"/>
      <c r="M337" s="92"/>
      <c r="N337" s="92"/>
      <c r="O337" s="93">
        <v>0</v>
      </c>
      <c r="P337" s="86"/>
      <c r="Q337" s="82">
        <f t="shared" si="20"/>
        <v>332</v>
      </c>
    </row>
    <row r="338" spans="1:17" ht="20.25" customHeight="1">
      <c r="A338" s="85"/>
      <c r="B338" s="102"/>
      <c r="C338" s="86"/>
      <c r="D338" s="87"/>
      <c r="E338" s="88" t="str">
        <f>IFERROR(VLOOKUP(D338,ProductMaster!$A:$B,2,FALSE),"")</f>
        <v/>
      </c>
      <c r="F338" s="88" t="str">
        <f>IFERROR(VLOOKUP(D338,ProductMaster!$A:$C,3,FALSE),"")</f>
        <v/>
      </c>
      <c r="G338" s="89" t="str">
        <f>IFERROR(VLOOKUP($D338,ProductMaster!$A:$O,4,FALSE),"")</f>
        <v/>
      </c>
      <c r="H338" s="90"/>
      <c r="I338" s="123">
        <f>IFERROR(VLOOKUP(E338,ProductMaster!B:G,6,FALSE),0)</f>
        <v>0</v>
      </c>
      <c r="J338" s="123">
        <f t="shared" si="19"/>
        <v>0</v>
      </c>
      <c r="K338" s="123">
        <f t="shared" si="21"/>
        <v>0</v>
      </c>
      <c r="L338" s="91"/>
      <c r="M338" s="92"/>
      <c r="N338" s="92"/>
      <c r="O338" s="93">
        <v>0</v>
      </c>
      <c r="P338" s="86"/>
      <c r="Q338" s="82">
        <f t="shared" si="20"/>
        <v>333</v>
      </c>
    </row>
    <row r="339" spans="1:17" ht="20.25" customHeight="1">
      <c r="A339" s="85"/>
      <c r="B339" s="102"/>
      <c r="C339" s="86"/>
      <c r="D339" s="87"/>
      <c r="E339" s="88" t="str">
        <f>IFERROR(VLOOKUP(D339,ProductMaster!$A:$B,2,FALSE),"")</f>
        <v/>
      </c>
      <c r="F339" s="88" t="str">
        <f>IFERROR(VLOOKUP(D339,ProductMaster!$A:$C,3,FALSE),"")</f>
        <v/>
      </c>
      <c r="G339" s="89" t="str">
        <f>IFERROR(VLOOKUP($D339,ProductMaster!$A:$O,4,FALSE),"")</f>
        <v/>
      </c>
      <c r="H339" s="90"/>
      <c r="I339" s="123">
        <f>IFERROR(VLOOKUP(E339,ProductMaster!B:G,6,FALSE),0)</f>
        <v>0</v>
      </c>
      <c r="J339" s="123">
        <f t="shared" si="19"/>
        <v>0</v>
      </c>
      <c r="K339" s="123">
        <f t="shared" si="21"/>
        <v>0</v>
      </c>
      <c r="L339" s="91"/>
      <c r="M339" s="92"/>
      <c r="N339" s="92"/>
      <c r="O339" s="93">
        <v>0</v>
      </c>
      <c r="P339" s="86"/>
      <c r="Q339" s="82">
        <f t="shared" si="20"/>
        <v>334</v>
      </c>
    </row>
    <row r="340" spans="1:17" ht="20.25" customHeight="1">
      <c r="A340" s="85"/>
      <c r="B340" s="102"/>
      <c r="C340" s="86"/>
      <c r="D340" s="87"/>
      <c r="E340" s="88" t="str">
        <f>IFERROR(VLOOKUP(D340,ProductMaster!$A:$B,2,FALSE),"")</f>
        <v/>
      </c>
      <c r="F340" s="88" t="str">
        <f>IFERROR(VLOOKUP(D340,ProductMaster!$A:$C,3,FALSE),"")</f>
        <v/>
      </c>
      <c r="G340" s="89" t="str">
        <f>IFERROR(VLOOKUP($D340,ProductMaster!$A:$O,4,FALSE),"")</f>
        <v/>
      </c>
      <c r="H340" s="90"/>
      <c r="I340" s="123">
        <f>IFERROR(VLOOKUP(E340,ProductMaster!B:G,6,FALSE),0)</f>
        <v>0</v>
      </c>
      <c r="J340" s="123">
        <f t="shared" si="19"/>
        <v>0</v>
      </c>
      <c r="K340" s="123">
        <f t="shared" si="21"/>
        <v>0</v>
      </c>
      <c r="L340" s="91"/>
      <c r="M340" s="92"/>
      <c r="N340" s="92"/>
      <c r="O340" s="93">
        <v>0</v>
      </c>
      <c r="P340" s="86"/>
      <c r="Q340" s="82">
        <f t="shared" si="20"/>
        <v>335</v>
      </c>
    </row>
    <row r="341" spans="1:17" ht="20.25" customHeight="1">
      <c r="A341" s="85"/>
      <c r="B341" s="102"/>
      <c r="C341" s="86"/>
      <c r="D341" s="87"/>
      <c r="E341" s="88" t="str">
        <f>IFERROR(VLOOKUP(D341,ProductMaster!$A:$B,2,FALSE),"")</f>
        <v/>
      </c>
      <c r="F341" s="88" t="str">
        <f>IFERROR(VLOOKUP(D341,ProductMaster!$A:$C,3,FALSE),"")</f>
        <v/>
      </c>
      <c r="G341" s="89" t="str">
        <f>IFERROR(VLOOKUP($D341,ProductMaster!$A:$O,4,FALSE),"")</f>
        <v/>
      </c>
      <c r="H341" s="90"/>
      <c r="I341" s="123">
        <f>IFERROR(VLOOKUP(E341,ProductMaster!B:G,6,FALSE),0)</f>
        <v>0</v>
      </c>
      <c r="J341" s="123">
        <f t="shared" si="19"/>
        <v>0</v>
      </c>
      <c r="K341" s="123">
        <f t="shared" si="21"/>
        <v>0</v>
      </c>
      <c r="L341" s="91"/>
      <c r="M341" s="92"/>
      <c r="N341" s="92"/>
      <c r="O341" s="93">
        <v>0</v>
      </c>
      <c r="P341" s="86"/>
      <c r="Q341" s="82">
        <f t="shared" si="20"/>
        <v>336</v>
      </c>
    </row>
    <row r="342" spans="1:17" ht="20.25" customHeight="1">
      <c r="A342" s="85"/>
      <c r="B342" s="102"/>
      <c r="C342" s="86"/>
      <c r="D342" s="87"/>
      <c r="E342" s="88" t="str">
        <f>IFERROR(VLOOKUP(D342,ProductMaster!$A:$B,2,FALSE),"")</f>
        <v/>
      </c>
      <c r="F342" s="88" t="str">
        <f>IFERROR(VLOOKUP(D342,ProductMaster!$A:$C,3,FALSE),"")</f>
        <v/>
      </c>
      <c r="G342" s="89" t="str">
        <f>IFERROR(VLOOKUP($D342,ProductMaster!$A:$O,4,FALSE),"")</f>
        <v/>
      </c>
      <c r="H342" s="90"/>
      <c r="I342" s="123">
        <f>IFERROR(VLOOKUP(E342,ProductMaster!B:G,6,FALSE),0)</f>
        <v>0</v>
      </c>
      <c r="J342" s="123">
        <f t="shared" si="19"/>
        <v>0</v>
      </c>
      <c r="K342" s="123">
        <f t="shared" si="21"/>
        <v>0</v>
      </c>
      <c r="L342" s="91"/>
      <c r="M342" s="92"/>
      <c r="N342" s="92"/>
      <c r="O342" s="93">
        <v>0</v>
      </c>
      <c r="P342" s="86"/>
      <c r="Q342" s="82">
        <f t="shared" si="20"/>
        <v>337</v>
      </c>
    </row>
    <row r="343" spans="1:17" ht="20.25" customHeight="1">
      <c r="A343" s="85"/>
      <c r="B343" s="102"/>
      <c r="C343" s="86"/>
      <c r="D343" s="87"/>
      <c r="E343" s="88" t="str">
        <f>IFERROR(VLOOKUP(D343,ProductMaster!$A:$B,2,FALSE),"")</f>
        <v/>
      </c>
      <c r="F343" s="88" t="str">
        <f>IFERROR(VLOOKUP(D343,ProductMaster!$A:$C,3,FALSE),"")</f>
        <v/>
      </c>
      <c r="G343" s="89" t="str">
        <f>IFERROR(VLOOKUP($D343,ProductMaster!$A:$O,4,FALSE),"")</f>
        <v/>
      </c>
      <c r="H343" s="90"/>
      <c r="I343" s="123">
        <f>IFERROR(VLOOKUP(E343,ProductMaster!B:G,6,FALSE),0)</f>
        <v>0</v>
      </c>
      <c r="J343" s="123">
        <f t="shared" si="19"/>
        <v>0</v>
      </c>
      <c r="K343" s="123">
        <f t="shared" si="21"/>
        <v>0</v>
      </c>
      <c r="L343" s="91"/>
      <c r="M343" s="92"/>
      <c r="N343" s="92"/>
      <c r="O343" s="93">
        <v>0</v>
      </c>
      <c r="P343" s="86"/>
      <c r="Q343" s="82">
        <f t="shared" si="20"/>
        <v>338</v>
      </c>
    </row>
    <row r="344" spans="1:17" ht="20.25" customHeight="1">
      <c r="A344" s="85"/>
      <c r="B344" s="102"/>
      <c r="C344" s="86"/>
      <c r="D344" s="87"/>
      <c r="E344" s="88" t="str">
        <f>IFERROR(VLOOKUP(D344,ProductMaster!$A:$B,2,FALSE),"")</f>
        <v/>
      </c>
      <c r="F344" s="88" t="str">
        <f>IFERROR(VLOOKUP(D344,ProductMaster!$A:$C,3,FALSE),"")</f>
        <v/>
      </c>
      <c r="G344" s="89" t="str">
        <f>IFERROR(VLOOKUP($D344,ProductMaster!$A:$O,4,FALSE),"")</f>
        <v/>
      </c>
      <c r="H344" s="90"/>
      <c r="I344" s="123">
        <f>IFERROR(VLOOKUP(E344,ProductMaster!B:G,6,FALSE),0)</f>
        <v>0</v>
      </c>
      <c r="J344" s="123">
        <f t="shared" si="19"/>
        <v>0</v>
      </c>
      <c r="K344" s="123">
        <f t="shared" si="21"/>
        <v>0</v>
      </c>
      <c r="L344" s="91"/>
      <c r="M344" s="92"/>
      <c r="N344" s="92"/>
      <c r="O344" s="93">
        <v>0</v>
      </c>
      <c r="P344" s="86"/>
      <c r="Q344" s="82">
        <f t="shared" si="20"/>
        <v>339</v>
      </c>
    </row>
    <row r="345" spans="1:17" ht="20.25" customHeight="1">
      <c r="A345" s="85"/>
      <c r="B345" s="102"/>
      <c r="C345" s="86"/>
      <c r="D345" s="87"/>
      <c r="E345" s="88" t="str">
        <f>IFERROR(VLOOKUP(D345,ProductMaster!$A:$B,2,FALSE),"")</f>
        <v/>
      </c>
      <c r="F345" s="88" t="str">
        <f>IFERROR(VLOOKUP(D345,ProductMaster!$A:$C,3,FALSE),"")</f>
        <v/>
      </c>
      <c r="G345" s="89" t="str">
        <f>IFERROR(VLOOKUP($D345,ProductMaster!$A:$O,4,FALSE),"")</f>
        <v/>
      </c>
      <c r="H345" s="90"/>
      <c r="I345" s="123">
        <f>IFERROR(VLOOKUP(E345,ProductMaster!B:G,6,FALSE),0)</f>
        <v>0</v>
      </c>
      <c r="J345" s="123">
        <f t="shared" si="19"/>
        <v>0</v>
      </c>
      <c r="K345" s="123">
        <f t="shared" si="21"/>
        <v>0</v>
      </c>
      <c r="L345" s="91"/>
      <c r="M345" s="92"/>
      <c r="N345" s="92"/>
      <c r="O345" s="93">
        <v>0</v>
      </c>
      <c r="P345" s="86"/>
      <c r="Q345" s="82">
        <f t="shared" si="20"/>
        <v>340</v>
      </c>
    </row>
    <row r="346" spans="1:17" ht="20.25" customHeight="1">
      <c r="A346" s="85"/>
      <c r="B346" s="102"/>
      <c r="C346" s="86"/>
      <c r="D346" s="87"/>
      <c r="E346" s="88" t="str">
        <f>IFERROR(VLOOKUP(D346,ProductMaster!$A:$B,2,FALSE),"")</f>
        <v/>
      </c>
      <c r="F346" s="88" t="str">
        <f>IFERROR(VLOOKUP(D346,ProductMaster!$A:$C,3,FALSE),"")</f>
        <v/>
      </c>
      <c r="G346" s="89" t="str">
        <f>IFERROR(VLOOKUP($D346,ProductMaster!$A:$O,4,FALSE),"")</f>
        <v/>
      </c>
      <c r="H346" s="90"/>
      <c r="I346" s="123">
        <f>IFERROR(VLOOKUP(E346,ProductMaster!B:G,6,FALSE),0)</f>
        <v>0</v>
      </c>
      <c r="J346" s="123">
        <f t="shared" si="19"/>
        <v>0</v>
      </c>
      <c r="K346" s="123">
        <f t="shared" si="21"/>
        <v>0</v>
      </c>
      <c r="L346" s="91"/>
      <c r="M346" s="92"/>
      <c r="N346" s="92"/>
      <c r="O346" s="93">
        <v>0</v>
      </c>
      <c r="P346" s="86"/>
      <c r="Q346" s="82">
        <f t="shared" si="20"/>
        <v>341</v>
      </c>
    </row>
    <row r="347" spans="1:17" ht="20.25" customHeight="1">
      <c r="A347" s="85"/>
      <c r="B347" s="102"/>
      <c r="C347" s="86"/>
      <c r="D347" s="87"/>
      <c r="E347" s="88" t="str">
        <f>IFERROR(VLOOKUP(D347,ProductMaster!$A:$B,2,FALSE),"")</f>
        <v/>
      </c>
      <c r="F347" s="88" t="str">
        <f>IFERROR(VLOOKUP(D347,ProductMaster!$A:$C,3,FALSE),"")</f>
        <v/>
      </c>
      <c r="G347" s="89" t="str">
        <f>IFERROR(VLOOKUP($D347,ProductMaster!$A:$O,4,FALSE),"")</f>
        <v/>
      </c>
      <c r="H347" s="90"/>
      <c r="I347" s="123">
        <f>IFERROR(VLOOKUP(E347,ProductMaster!B:G,6,FALSE),0)</f>
        <v>0</v>
      </c>
      <c r="J347" s="123">
        <f t="shared" si="19"/>
        <v>0</v>
      </c>
      <c r="K347" s="123">
        <f t="shared" si="21"/>
        <v>0</v>
      </c>
      <c r="L347" s="91"/>
      <c r="M347" s="92"/>
      <c r="N347" s="92"/>
      <c r="O347" s="93">
        <v>0</v>
      </c>
      <c r="P347" s="86"/>
      <c r="Q347" s="82">
        <f t="shared" si="20"/>
        <v>342</v>
      </c>
    </row>
    <row r="348" spans="1:17" ht="20.25" customHeight="1">
      <c r="A348" s="85"/>
      <c r="B348" s="102"/>
      <c r="C348" s="86"/>
      <c r="D348" s="87"/>
      <c r="E348" s="88" t="str">
        <f>IFERROR(VLOOKUP(D348,ProductMaster!$A:$B,2,FALSE),"")</f>
        <v/>
      </c>
      <c r="F348" s="88" t="str">
        <f>IFERROR(VLOOKUP(D348,ProductMaster!$A:$C,3,FALSE),"")</f>
        <v/>
      </c>
      <c r="G348" s="89" t="str">
        <f>IFERROR(VLOOKUP($D348,ProductMaster!$A:$O,4,FALSE),"")</f>
        <v/>
      </c>
      <c r="H348" s="90"/>
      <c r="I348" s="123">
        <f>IFERROR(VLOOKUP(E348,ProductMaster!B:G,6,FALSE),0)</f>
        <v>0</v>
      </c>
      <c r="J348" s="123">
        <f t="shared" si="19"/>
        <v>0</v>
      </c>
      <c r="K348" s="123">
        <f t="shared" si="21"/>
        <v>0</v>
      </c>
      <c r="L348" s="91"/>
      <c r="M348" s="92"/>
      <c r="N348" s="92"/>
      <c r="O348" s="93">
        <v>0</v>
      </c>
      <c r="P348" s="86"/>
      <c r="Q348" s="82">
        <f t="shared" si="20"/>
        <v>343</v>
      </c>
    </row>
    <row r="349" spans="1:17" ht="20.25" customHeight="1">
      <c r="A349" s="85"/>
      <c r="B349" s="102"/>
      <c r="C349" s="86"/>
      <c r="D349" s="87"/>
      <c r="E349" s="88" t="str">
        <f>IFERROR(VLOOKUP(D349,ProductMaster!$A:$B,2,FALSE),"")</f>
        <v/>
      </c>
      <c r="F349" s="88" t="str">
        <f>IFERROR(VLOOKUP(D349,ProductMaster!$A:$C,3,FALSE),"")</f>
        <v/>
      </c>
      <c r="G349" s="89" t="str">
        <f>IFERROR(VLOOKUP($D349,ProductMaster!$A:$O,4,FALSE),"")</f>
        <v/>
      </c>
      <c r="H349" s="90"/>
      <c r="I349" s="123">
        <f>IFERROR(VLOOKUP(E349,ProductMaster!B:G,6,FALSE),0)</f>
        <v>0</v>
      </c>
      <c r="J349" s="123">
        <f t="shared" si="19"/>
        <v>0</v>
      </c>
      <c r="K349" s="123">
        <f t="shared" si="21"/>
        <v>0</v>
      </c>
      <c r="L349" s="91"/>
      <c r="M349" s="92"/>
      <c r="N349" s="92"/>
      <c r="O349" s="93">
        <v>0</v>
      </c>
      <c r="P349" s="86"/>
      <c r="Q349" s="82">
        <f t="shared" si="20"/>
        <v>344</v>
      </c>
    </row>
    <row r="350" spans="1:17" ht="20.25" customHeight="1">
      <c r="A350" s="85"/>
      <c r="B350" s="102"/>
      <c r="C350" s="86"/>
      <c r="D350" s="87"/>
      <c r="E350" s="88" t="str">
        <f>IFERROR(VLOOKUP(D350,ProductMaster!$A:$B,2,FALSE),"")</f>
        <v/>
      </c>
      <c r="F350" s="88" t="str">
        <f>IFERROR(VLOOKUP(D350,ProductMaster!$A:$C,3,FALSE),"")</f>
        <v/>
      </c>
      <c r="G350" s="89" t="str">
        <f>IFERROR(VLOOKUP($D350,ProductMaster!$A:$O,4,FALSE),"")</f>
        <v/>
      </c>
      <c r="H350" s="90"/>
      <c r="I350" s="123">
        <f>IFERROR(VLOOKUP(E350,ProductMaster!B:G,6,FALSE),0)</f>
        <v>0</v>
      </c>
      <c r="J350" s="123">
        <f t="shared" si="19"/>
        <v>0</v>
      </c>
      <c r="K350" s="123">
        <f t="shared" si="21"/>
        <v>0</v>
      </c>
      <c r="L350" s="91"/>
      <c r="M350" s="92"/>
      <c r="N350" s="92"/>
      <c r="O350" s="93">
        <v>0</v>
      </c>
      <c r="P350" s="86"/>
      <c r="Q350" s="82">
        <f t="shared" si="20"/>
        <v>345</v>
      </c>
    </row>
    <row r="351" spans="1:17" ht="20.25" customHeight="1">
      <c r="A351" s="85"/>
      <c r="B351" s="102"/>
      <c r="C351" s="86"/>
      <c r="D351" s="87"/>
      <c r="E351" s="88" t="str">
        <f>IFERROR(VLOOKUP(D351,ProductMaster!$A:$B,2,FALSE),"")</f>
        <v/>
      </c>
      <c r="F351" s="88" t="str">
        <f>IFERROR(VLOOKUP(D351,ProductMaster!$A:$C,3,FALSE),"")</f>
        <v/>
      </c>
      <c r="G351" s="89" t="str">
        <f>IFERROR(VLOOKUP($D351,ProductMaster!$A:$O,4,FALSE),"")</f>
        <v/>
      </c>
      <c r="H351" s="90"/>
      <c r="I351" s="123">
        <f>IFERROR(VLOOKUP(E351,ProductMaster!B:G,6,FALSE),0)</f>
        <v>0</v>
      </c>
      <c r="J351" s="123">
        <f t="shared" si="19"/>
        <v>0</v>
      </c>
      <c r="K351" s="123">
        <f t="shared" si="21"/>
        <v>0</v>
      </c>
      <c r="L351" s="91"/>
      <c r="M351" s="92"/>
      <c r="N351" s="92"/>
      <c r="O351" s="93">
        <v>0</v>
      </c>
      <c r="P351" s="86"/>
      <c r="Q351" s="82">
        <f t="shared" si="20"/>
        <v>346</v>
      </c>
    </row>
    <row r="352" spans="1:17" ht="20.25" customHeight="1">
      <c r="A352" s="85"/>
      <c r="B352" s="102"/>
      <c r="C352" s="86"/>
      <c r="D352" s="87"/>
      <c r="E352" s="88" t="str">
        <f>IFERROR(VLOOKUP(D352,ProductMaster!$A:$B,2,FALSE),"")</f>
        <v/>
      </c>
      <c r="F352" s="88" t="str">
        <f>IFERROR(VLOOKUP(D352,ProductMaster!$A:$C,3,FALSE),"")</f>
        <v/>
      </c>
      <c r="G352" s="89" t="str">
        <f>IFERROR(VLOOKUP($D352,ProductMaster!$A:$O,4,FALSE),"")</f>
        <v/>
      </c>
      <c r="H352" s="90"/>
      <c r="I352" s="123">
        <f>IFERROR(VLOOKUP(E352,ProductMaster!B:G,6,FALSE),0)</f>
        <v>0</v>
      </c>
      <c r="J352" s="123">
        <f t="shared" si="19"/>
        <v>0</v>
      </c>
      <c r="K352" s="123">
        <f t="shared" si="21"/>
        <v>0</v>
      </c>
      <c r="L352" s="91"/>
      <c r="M352" s="92"/>
      <c r="N352" s="92"/>
      <c r="O352" s="93">
        <v>0</v>
      </c>
      <c r="P352" s="86"/>
      <c r="Q352" s="82">
        <f t="shared" si="20"/>
        <v>347</v>
      </c>
    </row>
    <row r="353" spans="1:17" ht="20.25" customHeight="1">
      <c r="A353" s="85"/>
      <c r="B353" s="102"/>
      <c r="C353" s="86"/>
      <c r="D353" s="87"/>
      <c r="E353" s="88" t="str">
        <f>IFERROR(VLOOKUP(D353,ProductMaster!$A:$B,2,FALSE),"")</f>
        <v/>
      </c>
      <c r="F353" s="88" t="str">
        <f>IFERROR(VLOOKUP(D353,ProductMaster!$A:$C,3,FALSE),"")</f>
        <v/>
      </c>
      <c r="G353" s="89" t="str">
        <f>IFERROR(VLOOKUP($D353,ProductMaster!$A:$O,4,FALSE),"")</f>
        <v/>
      </c>
      <c r="H353" s="90"/>
      <c r="I353" s="123">
        <f>IFERROR(VLOOKUP(E353,ProductMaster!B:G,6,FALSE),0)</f>
        <v>0</v>
      </c>
      <c r="J353" s="123">
        <f t="shared" si="19"/>
        <v>0</v>
      </c>
      <c r="K353" s="123">
        <f t="shared" si="21"/>
        <v>0</v>
      </c>
      <c r="L353" s="91"/>
      <c r="M353" s="92"/>
      <c r="N353" s="92"/>
      <c r="O353" s="93">
        <v>0</v>
      </c>
      <c r="P353" s="86"/>
      <c r="Q353" s="82">
        <f t="shared" si="20"/>
        <v>348</v>
      </c>
    </row>
    <row r="354" spans="1:17" ht="20.25" customHeight="1">
      <c r="A354" s="85"/>
      <c r="B354" s="102"/>
      <c r="C354" s="86"/>
      <c r="D354" s="87"/>
      <c r="E354" s="88" t="str">
        <f>IFERROR(VLOOKUP(D354,ProductMaster!$A:$B,2,FALSE),"")</f>
        <v/>
      </c>
      <c r="F354" s="88" t="str">
        <f>IFERROR(VLOOKUP(D354,ProductMaster!$A:$C,3,FALSE),"")</f>
        <v/>
      </c>
      <c r="G354" s="89" t="str">
        <f>IFERROR(VLOOKUP($D354,ProductMaster!$A:$O,4,FALSE),"")</f>
        <v/>
      </c>
      <c r="H354" s="90"/>
      <c r="I354" s="123">
        <f>IFERROR(VLOOKUP(E354,ProductMaster!B:G,6,FALSE),0)</f>
        <v>0</v>
      </c>
      <c r="J354" s="123">
        <f t="shared" si="19"/>
        <v>0</v>
      </c>
      <c r="K354" s="123">
        <f t="shared" si="21"/>
        <v>0</v>
      </c>
      <c r="L354" s="91"/>
      <c r="M354" s="92"/>
      <c r="N354" s="92"/>
      <c r="O354" s="93">
        <v>0</v>
      </c>
      <c r="P354" s="86"/>
      <c r="Q354" s="82">
        <f t="shared" si="20"/>
        <v>349</v>
      </c>
    </row>
    <row r="355" spans="1:17" ht="20.25" customHeight="1">
      <c r="A355" s="85"/>
      <c r="B355" s="102"/>
      <c r="C355" s="86"/>
      <c r="D355" s="87"/>
      <c r="E355" s="88" t="str">
        <f>IFERROR(VLOOKUP(D355,ProductMaster!$A:$B,2,FALSE),"")</f>
        <v/>
      </c>
      <c r="F355" s="88" t="str">
        <f>IFERROR(VLOOKUP(D355,ProductMaster!$A:$C,3,FALSE),"")</f>
        <v/>
      </c>
      <c r="G355" s="89" t="str">
        <f>IFERROR(VLOOKUP($D355,ProductMaster!$A:$O,4,FALSE),"")</f>
        <v/>
      </c>
      <c r="H355" s="90"/>
      <c r="I355" s="123">
        <f>IFERROR(VLOOKUP(E355,ProductMaster!B:G,6,FALSE),0)</f>
        <v>0</v>
      </c>
      <c r="J355" s="123">
        <f t="shared" si="19"/>
        <v>0</v>
      </c>
      <c r="K355" s="123">
        <f t="shared" si="21"/>
        <v>0</v>
      </c>
      <c r="L355" s="91"/>
      <c r="M355" s="92"/>
      <c r="N355" s="92"/>
      <c r="O355" s="93">
        <v>0</v>
      </c>
      <c r="P355" s="86"/>
      <c r="Q355" s="82">
        <f t="shared" si="20"/>
        <v>350</v>
      </c>
    </row>
    <row r="356" spans="1:17" ht="20.25" customHeight="1">
      <c r="A356" s="85"/>
      <c r="B356" s="102"/>
      <c r="C356" s="86"/>
      <c r="D356" s="87"/>
      <c r="E356" s="88" t="str">
        <f>IFERROR(VLOOKUP(D356,ProductMaster!$A:$B,2,FALSE),"")</f>
        <v/>
      </c>
      <c r="F356" s="88" t="str">
        <f>IFERROR(VLOOKUP(D356,ProductMaster!$A:$C,3,FALSE),"")</f>
        <v/>
      </c>
      <c r="G356" s="89" t="str">
        <f>IFERROR(VLOOKUP($D356,ProductMaster!$A:$O,4,FALSE),"")</f>
        <v/>
      </c>
      <c r="H356" s="90"/>
      <c r="I356" s="123">
        <f>IFERROR(VLOOKUP(E356,ProductMaster!B:G,6,FALSE),0)</f>
        <v>0</v>
      </c>
      <c r="J356" s="123">
        <f t="shared" si="19"/>
        <v>0</v>
      </c>
      <c r="K356" s="123">
        <f t="shared" si="21"/>
        <v>0</v>
      </c>
      <c r="L356" s="91"/>
      <c r="M356" s="92"/>
      <c r="N356" s="92"/>
      <c r="O356" s="93">
        <v>0</v>
      </c>
      <c r="P356" s="86"/>
      <c r="Q356" s="82">
        <f t="shared" si="20"/>
        <v>351</v>
      </c>
    </row>
    <row r="357" spans="1:17" ht="20.25" customHeight="1">
      <c r="A357" s="85"/>
      <c r="B357" s="102"/>
      <c r="C357" s="86"/>
      <c r="D357" s="87"/>
      <c r="E357" s="88" t="str">
        <f>IFERROR(VLOOKUP(D357,ProductMaster!$A:$B,2,FALSE),"")</f>
        <v/>
      </c>
      <c r="F357" s="88" t="str">
        <f>IFERROR(VLOOKUP(D357,ProductMaster!$A:$C,3,FALSE),"")</f>
        <v/>
      </c>
      <c r="G357" s="89" t="str">
        <f>IFERROR(VLOOKUP($D357,ProductMaster!$A:$O,4,FALSE),"")</f>
        <v/>
      </c>
      <c r="H357" s="90"/>
      <c r="I357" s="123">
        <f>IFERROR(VLOOKUP(E357,ProductMaster!B:G,6,FALSE),0)</f>
        <v>0</v>
      </c>
      <c r="J357" s="123">
        <f t="shared" si="19"/>
        <v>0</v>
      </c>
      <c r="K357" s="123">
        <f t="shared" si="21"/>
        <v>0</v>
      </c>
      <c r="L357" s="91"/>
      <c r="M357" s="92"/>
      <c r="N357" s="92"/>
      <c r="O357" s="93">
        <v>0</v>
      </c>
      <c r="P357" s="86"/>
      <c r="Q357" s="82">
        <f t="shared" si="20"/>
        <v>352</v>
      </c>
    </row>
    <row r="358" spans="1:17" ht="20.25" customHeight="1">
      <c r="A358" s="85"/>
      <c r="B358" s="102"/>
      <c r="C358" s="86"/>
      <c r="D358" s="87"/>
      <c r="E358" s="88" t="str">
        <f>IFERROR(VLOOKUP(D358,ProductMaster!$A:$B,2,FALSE),"")</f>
        <v/>
      </c>
      <c r="F358" s="88" t="str">
        <f>IFERROR(VLOOKUP(D358,ProductMaster!$A:$C,3,FALSE),"")</f>
        <v/>
      </c>
      <c r="G358" s="89" t="str">
        <f>IFERROR(VLOOKUP($D358,ProductMaster!$A:$O,4,FALSE),"")</f>
        <v/>
      </c>
      <c r="H358" s="90"/>
      <c r="I358" s="123">
        <f>IFERROR(VLOOKUP(E358,ProductMaster!B:G,6,FALSE),0)</f>
        <v>0</v>
      </c>
      <c r="J358" s="123">
        <f t="shared" si="19"/>
        <v>0</v>
      </c>
      <c r="K358" s="123">
        <f t="shared" si="21"/>
        <v>0</v>
      </c>
      <c r="L358" s="91"/>
      <c r="M358" s="92"/>
      <c r="N358" s="92"/>
      <c r="O358" s="93">
        <v>0</v>
      </c>
      <c r="P358" s="86"/>
      <c r="Q358" s="82">
        <f t="shared" si="20"/>
        <v>353</v>
      </c>
    </row>
    <row r="359" spans="1:17" ht="20.25" customHeight="1">
      <c r="A359" s="85"/>
      <c r="B359" s="102"/>
      <c r="C359" s="86"/>
      <c r="D359" s="87"/>
      <c r="E359" s="88" t="str">
        <f>IFERROR(VLOOKUP(D359,ProductMaster!$A:$B,2,FALSE),"")</f>
        <v/>
      </c>
      <c r="F359" s="88" t="str">
        <f>IFERROR(VLOOKUP(D359,ProductMaster!$A:$C,3,FALSE),"")</f>
        <v/>
      </c>
      <c r="G359" s="89" t="str">
        <f>IFERROR(VLOOKUP($D359,ProductMaster!$A:$O,4,FALSE),"")</f>
        <v/>
      </c>
      <c r="H359" s="90"/>
      <c r="I359" s="123">
        <f>IFERROR(VLOOKUP(E359,ProductMaster!B:G,6,FALSE),0)</f>
        <v>0</v>
      </c>
      <c r="J359" s="123">
        <f t="shared" si="19"/>
        <v>0</v>
      </c>
      <c r="K359" s="123">
        <f t="shared" si="21"/>
        <v>0</v>
      </c>
      <c r="L359" s="91"/>
      <c r="M359" s="92"/>
      <c r="N359" s="92"/>
      <c r="O359" s="93">
        <v>0</v>
      </c>
      <c r="P359" s="86"/>
      <c r="Q359" s="82">
        <f t="shared" si="20"/>
        <v>354</v>
      </c>
    </row>
    <row r="360" spans="1:17" ht="20.25" customHeight="1">
      <c r="A360" s="85"/>
      <c r="B360" s="102"/>
      <c r="C360" s="86"/>
      <c r="D360" s="87"/>
      <c r="E360" s="88" t="str">
        <f>IFERROR(VLOOKUP(D360,ProductMaster!$A:$B,2,FALSE),"")</f>
        <v/>
      </c>
      <c r="F360" s="88" t="str">
        <f>IFERROR(VLOOKUP(D360,ProductMaster!$A:$C,3,FALSE),"")</f>
        <v/>
      </c>
      <c r="G360" s="89" t="str">
        <f>IFERROR(VLOOKUP($D360,ProductMaster!$A:$O,4,FALSE),"")</f>
        <v/>
      </c>
      <c r="H360" s="90"/>
      <c r="I360" s="123">
        <f>IFERROR(VLOOKUP(E360,ProductMaster!B:G,6,FALSE),0)</f>
        <v>0</v>
      </c>
      <c r="J360" s="123">
        <f t="shared" si="19"/>
        <v>0</v>
      </c>
      <c r="K360" s="123">
        <f t="shared" si="21"/>
        <v>0</v>
      </c>
      <c r="L360" s="91"/>
      <c r="M360" s="92"/>
      <c r="N360" s="92"/>
      <c r="O360" s="93">
        <v>0</v>
      </c>
      <c r="P360" s="86"/>
      <c r="Q360" s="82">
        <f t="shared" si="20"/>
        <v>355</v>
      </c>
    </row>
    <row r="361" spans="1:17" ht="20.25" customHeight="1">
      <c r="A361" s="85"/>
      <c r="B361" s="102"/>
      <c r="C361" s="86"/>
      <c r="D361" s="87"/>
      <c r="E361" s="88" t="str">
        <f>IFERROR(VLOOKUP(D361,ProductMaster!$A:$B,2,FALSE),"")</f>
        <v/>
      </c>
      <c r="F361" s="88" t="str">
        <f>IFERROR(VLOOKUP(D361,ProductMaster!$A:$C,3,FALSE),"")</f>
        <v/>
      </c>
      <c r="G361" s="89" t="str">
        <f>IFERROR(VLOOKUP($D361,ProductMaster!$A:$O,4,FALSE),"")</f>
        <v/>
      </c>
      <c r="H361" s="90"/>
      <c r="I361" s="123">
        <f>IFERROR(VLOOKUP(E361,ProductMaster!B:G,6,FALSE),0)</f>
        <v>0</v>
      </c>
      <c r="J361" s="123">
        <f t="shared" si="19"/>
        <v>0</v>
      </c>
      <c r="K361" s="123">
        <f t="shared" si="21"/>
        <v>0</v>
      </c>
      <c r="L361" s="91"/>
      <c r="M361" s="92"/>
      <c r="N361" s="92"/>
      <c r="O361" s="93">
        <v>0</v>
      </c>
      <c r="P361" s="86"/>
      <c r="Q361" s="82">
        <f t="shared" si="20"/>
        <v>356</v>
      </c>
    </row>
    <row r="362" spans="1:17" ht="20.25" customHeight="1">
      <c r="A362" s="85"/>
      <c r="B362" s="102"/>
      <c r="C362" s="86"/>
      <c r="D362" s="87"/>
      <c r="E362" s="88" t="str">
        <f>IFERROR(VLOOKUP(D362,ProductMaster!$A:$B,2,FALSE),"")</f>
        <v/>
      </c>
      <c r="F362" s="88" t="str">
        <f>IFERROR(VLOOKUP(D362,ProductMaster!$A:$C,3,FALSE),"")</f>
        <v/>
      </c>
      <c r="G362" s="89" t="str">
        <f>IFERROR(VLOOKUP($D362,ProductMaster!$A:$O,4,FALSE),"")</f>
        <v/>
      </c>
      <c r="H362" s="90"/>
      <c r="I362" s="123">
        <f>IFERROR(VLOOKUP(E362,ProductMaster!B:G,6,FALSE),0)</f>
        <v>0</v>
      </c>
      <c r="J362" s="123">
        <f t="shared" si="19"/>
        <v>0</v>
      </c>
      <c r="K362" s="123">
        <f t="shared" si="21"/>
        <v>0</v>
      </c>
      <c r="L362" s="91"/>
      <c r="M362" s="92"/>
      <c r="N362" s="92"/>
      <c r="O362" s="93">
        <v>0</v>
      </c>
      <c r="P362" s="86"/>
      <c r="Q362" s="82">
        <f t="shared" si="20"/>
        <v>357</v>
      </c>
    </row>
    <row r="363" spans="1:17" ht="20.25" customHeight="1">
      <c r="A363" s="85"/>
      <c r="B363" s="102"/>
      <c r="C363" s="86"/>
      <c r="D363" s="87"/>
      <c r="E363" s="88" t="str">
        <f>IFERROR(VLOOKUP(D363,ProductMaster!$A:$B,2,FALSE),"")</f>
        <v/>
      </c>
      <c r="F363" s="88" t="str">
        <f>IFERROR(VLOOKUP(D363,ProductMaster!$A:$C,3,FALSE),"")</f>
        <v/>
      </c>
      <c r="G363" s="89" t="str">
        <f>IFERROR(VLOOKUP($D363,ProductMaster!$A:$O,4,FALSE),"")</f>
        <v/>
      </c>
      <c r="H363" s="90"/>
      <c r="I363" s="123">
        <f>IFERROR(VLOOKUP(E363,ProductMaster!B:G,6,FALSE),0)</f>
        <v>0</v>
      </c>
      <c r="J363" s="123">
        <f t="shared" si="19"/>
        <v>0</v>
      </c>
      <c r="K363" s="123">
        <f t="shared" si="21"/>
        <v>0</v>
      </c>
      <c r="L363" s="91"/>
      <c r="M363" s="92"/>
      <c r="N363" s="92"/>
      <c r="O363" s="93">
        <v>0</v>
      </c>
      <c r="P363" s="86"/>
      <c r="Q363" s="82">
        <f t="shared" si="20"/>
        <v>358</v>
      </c>
    </row>
    <row r="364" spans="1:17" ht="20.25" customHeight="1">
      <c r="A364" s="85"/>
      <c r="B364" s="102"/>
      <c r="C364" s="86"/>
      <c r="D364" s="87"/>
      <c r="E364" s="88" t="str">
        <f>IFERROR(VLOOKUP(D364,ProductMaster!$A:$B,2,FALSE),"")</f>
        <v/>
      </c>
      <c r="F364" s="88" t="str">
        <f>IFERROR(VLOOKUP(D364,ProductMaster!$A:$C,3,FALSE),"")</f>
        <v/>
      </c>
      <c r="G364" s="89" t="str">
        <f>IFERROR(VLOOKUP($D364,ProductMaster!$A:$O,4,FALSE),"")</f>
        <v/>
      </c>
      <c r="H364" s="90"/>
      <c r="I364" s="123">
        <f>IFERROR(VLOOKUP(E364,ProductMaster!B:G,6,FALSE),0)</f>
        <v>0</v>
      </c>
      <c r="J364" s="123">
        <f t="shared" si="19"/>
        <v>0</v>
      </c>
      <c r="K364" s="123">
        <f t="shared" si="21"/>
        <v>0</v>
      </c>
      <c r="L364" s="91"/>
      <c r="M364" s="92"/>
      <c r="N364" s="92"/>
      <c r="O364" s="93">
        <v>0</v>
      </c>
      <c r="P364" s="86"/>
      <c r="Q364" s="82">
        <f t="shared" si="20"/>
        <v>359</v>
      </c>
    </row>
    <row r="365" spans="1:17" ht="20.25" customHeight="1">
      <c r="A365" s="85"/>
      <c r="B365" s="102"/>
      <c r="C365" s="86"/>
      <c r="D365" s="87"/>
      <c r="E365" s="88" t="str">
        <f>IFERROR(VLOOKUP(D365,ProductMaster!$A:$B,2,FALSE),"")</f>
        <v/>
      </c>
      <c r="F365" s="88" t="str">
        <f>IFERROR(VLOOKUP(D365,ProductMaster!$A:$C,3,FALSE),"")</f>
        <v/>
      </c>
      <c r="G365" s="89" t="str">
        <f>IFERROR(VLOOKUP($D365,ProductMaster!$A:$O,4,FALSE),"")</f>
        <v/>
      </c>
      <c r="H365" s="90"/>
      <c r="I365" s="123">
        <f>IFERROR(VLOOKUP(E365,ProductMaster!B:G,6,FALSE),0)</f>
        <v>0</v>
      </c>
      <c r="J365" s="123">
        <f t="shared" si="19"/>
        <v>0</v>
      </c>
      <c r="K365" s="123">
        <f t="shared" si="21"/>
        <v>0</v>
      </c>
      <c r="L365" s="91"/>
      <c r="M365" s="92"/>
      <c r="N365" s="92"/>
      <c r="O365" s="93">
        <v>0</v>
      </c>
      <c r="P365" s="86"/>
      <c r="Q365" s="82">
        <f t="shared" si="20"/>
        <v>360</v>
      </c>
    </row>
    <row r="366" spans="1:17" ht="20.25" customHeight="1">
      <c r="A366" s="85"/>
      <c r="B366" s="102"/>
      <c r="C366" s="86"/>
      <c r="D366" s="87"/>
      <c r="E366" s="88" t="str">
        <f>IFERROR(VLOOKUP(D366,ProductMaster!$A:$B,2,FALSE),"")</f>
        <v/>
      </c>
      <c r="F366" s="88" t="str">
        <f>IFERROR(VLOOKUP(D366,ProductMaster!$A:$C,3,FALSE),"")</f>
        <v/>
      </c>
      <c r="G366" s="89" t="str">
        <f>IFERROR(VLOOKUP($D366,ProductMaster!$A:$O,4,FALSE),"")</f>
        <v/>
      </c>
      <c r="H366" s="90"/>
      <c r="I366" s="123">
        <f>IFERROR(VLOOKUP(E366,ProductMaster!B:G,6,FALSE),0)</f>
        <v>0</v>
      </c>
      <c r="J366" s="123">
        <f t="shared" si="19"/>
        <v>0</v>
      </c>
      <c r="K366" s="123">
        <f t="shared" si="21"/>
        <v>0</v>
      </c>
      <c r="L366" s="91"/>
      <c r="M366" s="92"/>
      <c r="N366" s="92"/>
      <c r="O366" s="93">
        <v>0</v>
      </c>
      <c r="P366" s="86"/>
      <c r="Q366" s="82">
        <f t="shared" si="20"/>
        <v>361</v>
      </c>
    </row>
    <row r="367" spans="1:17" ht="20.25" customHeight="1">
      <c r="A367" s="85"/>
      <c r="B367" s="102"/>
      <c r="C367" s="86"/>
      <c r="D367" s="87"/>
      <c r="E367" s="88" t="str">
        <f>IFERROR(VLOOKUP(D367,ProductMaster!$A:$B,2,FALSE),"")</f>
        <v/>
      </c>
      <c r="F367" s="88" t="str">
        <f>IFERROR(VLOOKUP(D367,ProductMaster!$A:$C,3,FALSE),"")</f>
        <v/>
      </c>
      <c r="G367" s="89" t="str">
        <f>IFERROR(VLOOKUP($D367,ProductMaster!$A:$O,4,FALSE),"")</f>
        <v/>
      </c>
      <c r="H367" s="90"/>
      <c r="I367" s="123">
        <f>IFERROR(VLOOKUP(E367,ProductMaster!B:G,6,FALSE),0)</f>
        <v>0</v>
      </c>
      <c r="J367" s="123">
        <f t="shared" si="19"/>
        <v>0</v>
      </c>
      <c r="K367" s="123">
        <f t="shared" si="21"/>
        <v>0</v>
      </c>
      <c r="L367" s="91"/>
      <c r="M367" s="92"/>
      <c r="N367" s="92"/>
      <c r="O367" s="93">
        <v>0</v>
      </c>
      <c r="P367" s="86"/>
      <c r="Q367" s="82">
        <f t="shared" si="20"/>
        <v>362</v>
      </c>
    </row>
    <row r="368" spans="1:17" ht="20.25" customHeight="1">
      <c r="A368" s="85"/>
      <c r="B368" s="102"/>
      <c r="C368" s="86"/>
      <c r="D368" s="87"/>
      <c r="E368" s="88" t="str">
        <f>IFERROR(VLOOKUP(D368,ProductMaster!$A:$B,2,FALSE),"")</f>
        <v/>
      </c>
      <c r="F368" s="88" t="str">
        <f>IFERROR(VLOOKUP(D368,ProductMaster!$A:$C,3,FALSE),"")</f>
        <v/>
      </c>
      <c r="G368" s="89" t="str">
        <f>IFERROR(VLOOKUP($D368,ProductMaster!$A:$O,4,FALSE),"")</f>
        <v/>
      </c>
      <c r="H368" s="90"/>
      <c r="I368" s="123">
        <f>IFERROR(VLOOKUP(E368,ProductMaster!B:G,6,FALSE),0)</f>
        <v>0</v>
      </c>
      <c r="J368" s="123">
        <f t="shared" si="19"/>
        <v>0</v>
      </c>
      <c r="K368" s="123">
        <f t="shared" si="21"/>
        <v>0</v>
      </c>
      <c r="L368" s="91"/>
      <c r="M368" s="92"/>
      <c r="N368" s="92"/>
      <c r="O368" s="93">
        <v>0</v>
      </c>
      <c r="P368" s="86"/>
      <c r="Q368" s="82">
        <f t="shared" si="20"/>
        <v>363</v>
      </c>
    </row>
    <row r="369" spans="1:17" ht="20.25" customHeight="1">
      <c r="A369" s="85"/>
      <c r="B369" s="102"/>
      <c r="C369" s="86"/>
      <c r="D369" s="87"/>
      <c r="E369" s="88" t="str">
        <f>IFERROR(VLOOKUP(D369,ProductMaster!$A:$B,2,FALSE),"")</f>
        <v/>
      </c>
      <c r="F369" s="88" t="str">
        <f>IFERROR(VLOOKUP(D369,ProductMaster!$A:$C,3,FALSE),"")</f>
        <v/>
      </c>
      <c r="G369" s="89" t="str">
        <f>IFERROR(VLOOKUP($D369,ProductMaster!$A:$O,4,FALSE),"")</f>
        <v/>
      </c>
      <c r="H369" s="90"/>
      <c r="I369" s="123">
        <f>IFERROR(VLOOKUP(E369,ProductMaster!B:G,6,FALSE),0)</f>
        <v>0</v>
      </c>
      <c r="J369" s="123">
        <f t="shared" si="19"/>
        <v>0</v>
      </c>
      <c r="K369" s="123">
        <f t="shared" si="21"/>
        <v>0</v>
      </c>
      <c r="L369" s="91"/>
      <c r="M369" s="92"/>
      <c r="N369" s="92"/>
      <c r="O369" s="93">
        <v>0</v>
      </c>
      <c r="P369" s="86"/>
      <c r="Q369" s="82">
        <f t="shared" si="20"/>
        <v>364</v>
      </c>
    </row>
    <row r="370" spans="1:17" ht="20.25" customHeight="1">
      <c r="A370" s="85"/>
      <c r="B370" s="102"/>
      <c r="C370" s="86"/>
      <c r="D370" s="87"/>
      <c r="E370" s="88" t="str">
        <f>IFERROR(VLOOKUP(D370,ProductMaster!$A:$B,2,FALSE),"")</f>
        <v/>
      </c>
      <c r="F370" s="88" t="str">
        <f>IFERROR(VLOOKUP(D370,ProductMaster!$A:$C,3,FALSE),"")</f>
        <v/>
      </c>
      <c r="G370" s="89" t="str">
        <f>IFERROR(VLOOKUP($D370,ProductMaster!$A:$O,4,FALSE),"")</f>
        <v/>
      </c>
      <c r="H370" s="90"/>
      <c r="I370" s="123">
        <f>IFERROR(VLOOKUP(E370,ProductMaster!B:G,6,FALSE),0)</f>
        <v>0</v>
      </c>
      <c r="J370" s="123">
        <f t="shared" si="19"/>
        <v>0</v>
      </c>
      <c r="K370" s="123">
        <f t="shared" si="21"/>
        <v>0</v>
      </c>
      <c r="L370" s="91"/>
      <c r="M370" s="92"/>
      <c r="N370" s="92"/>
      <c r="O370" s="93">
        <v>0</v>
      </c>
      <c r="P370" s="86"/>
      <c r="Q370" s="82">
        <f t="shared" si="20"/>
        <v>365</v>
      </c>
    </row>
    <row r="371" spans="1:17" ht="20.25" customHeight="1">
      <c r="A371" s="85"/>
      <c r="B371" s="102"/>
      <c r="C371" s="86"/>
      <c r="D371" s="87"/>
      <c r="E371" s="88" t="str">
        <f>IFERROR(VLOOKUP(D371,ProductMaster!$A:$B,2,FALSE),"")</f>
        <v/>
      </c>
      <c r="F371" s="88" t="str">
        <f>IFERROR(VLOOKUP(D371,ProductMaster!$A:$C,3,FALSE),"")</f>
        <v/>
      </c>
      <c r="G371" s="89" t="str">
        <f>IFERROR(VLOOKUP($D371,ProductMaster!$A:$O,4,FALSE),"")</f>
        <v/>
      </c>
      <c r="H371" s="90"/>
      <c r="I371" s="123">
        <f>IFERROR(VLOOKUP(E371,ProductMaster!B:G,6,FALSE),0)</f>
        <v>0</v>
      </c>
      <c r="J371" s="123">
        <f t="shared" si="19"/>
        <v>0</v>
      </c>
      <c r="K371" s="123">
        <f t="shared" si="21"/>
        <v>0</v>
      </c>
      <c r="L371" s="91"/>
      <c r="M371" s="92"/>
      <c r="N371" s="92"/>
      <c r="O371" s="93">
        <v>0</v>
      </c>
      <c r="P371" s="86"/>
      <c r="Q371" s="82">
        <f t="shared" si="20"/>
        <v>366</v>
      </c>
    </row>
    <row r="372" spans="1:17" ht="20.25" customHeight="1">
      <c r="A372" s="85"/>
      <c r="B372" s="102"/>
      <c r="C372" s="86"/>
      <c r="D372" s="87"/>
      <c r="E372" s="88" t="str">
        <f>IFERROR(VLOOKUP(D372,ProductMaster!$A:$B,2,FALSE),"")</f>
        <v/>
      </c>
      <c r="F372" s="88" t="str">
        <f>IFERROR(VLOOKUP(D372,ProductMaster!$A:$C,3,FALSE),"")</f>
        <v/>
      </c>
      <c r="G372" s="89" t="str">
        <f>IFERROR(VLOOKUP($D372,ProductMaster!$A:$O,4,FALSE),"")</f>
        <v/>
      </c>
      <c r="H372" s="90"/>
      <c r="I372" s="123">
        <f>IFERROR(VLOOKUP(E372,ProductMaster!B:G,6,FALSE),0)</f>
        <v>0</v>
      </c>
      <c r="J372" s="123">
        <f t="shared" si="19"/>
        <v>0</v>
      </c>
      <c r="K372" s="123">
        <f t="shared" si="21"/>
        <v>0</v>
      </c>
      <c r="L372" s="91"/>
      <c r="M372" s="92"/>
      <c r="N372" s="92"/>
      <c r="O372" s="93">
        <v>0</v>
      </c>
      <c r="P372" s="86"/>
      <c r="Q372" s="82">
        <f t="shared" si="20"/>
        <v>367</v>
      </c>
    </row>
    <row r="373" spans="1:17" ht="20.25" customHeight="1">
      <c r="A373" s="85"/>
      <c r="B373" s="102"/>
      <c r="C373" s="86"/>
      <c r="D373" s="87"/>
      <c r="E373" s="88" t="str">
        <f>IFERROR(VLOOKUP(D373,ProductMaster!$A:$B,2,FALSE),"")</f>
        <v/>
      </c>
      <c r="F373" s="88" t="str">
        <f>IFERROR(VLOOKUP(D373,ProductMaster!$A:$C,3,FALSE),"")</f>
        <v/>
      </c>
      <c r="G373" s="89" t="str">
        <f>IFERROR(VLOOKUP($D373,ProductMaster!$A:$O,4,FALSE),"")</f>
        <v/>
      </c>
      <c r="H373" s="90"/>
      <c r="I373" s="123">
        <f>IFERROR(VLOOKUP(E373,ProductMaster!B:G,6,FALSE),0)</f>
        <v>0</v>
      </c>
      <c r="J373" s="123">
        <f t="shared" si="19"/>
        <v>0</v>
      </c>
      <c r="K373" s="123">
        <f t="shared" si="21"/>
        <v>0</v>
      </c>
      <c r="L373" s="91"/>
      <c r="M373" s="92"/>
      <c r="N373" s="92"/>
      <c r="O373" s="93">
        <v>0</v>
      </c>
      <c r="P373" s="86"/>
      <c r="Q373" s="82">
        <f t="shared" si="20"/>
        <v>368</v>
      </c>
    </row>
    <row r="374" spans="1:17" ht="20.25" customHeight="1">
      <c r="A374" s="85"/>
      <c r="B374" s="102"/>
      <c r="C374" s="86"/>
      <c r="D374" s="87"/>
      <c r="E374" s="88" t="str">
        <f>IFERROR(VLOOKUP(D374,ProductMaster!$A:$B,2,FALSE),"")</f>
        <v/>
      </c>
      <c r="F374" s="88" t="str">
        <f>IFERROR(VLOOKUP(D374,ProductMaster!$A:$C,3,FALSE),"")</f>
        <v/>
      </c>
      <c r="G374" s="89" t="str">
        <f>IFERROR(VLOOKUP($D374,ProductMaster!$A:$O,4,FALSE),"")</f>
        <v/>
      </c>
      <c r="H374" s="90"/>
      <c r="I374" s="123">
        <f>IFERROR(VLOOKUP(E374,ProductMaster!B:G,6,FALSE),0)</f>
        <v>0</v>
      </c>
      <c r="J374" s="123">
        <f t="shared" si="19"/>
        <v>0</v>
      </c>
      <c r="K374" s="123">
        <f t="shared" si="21"/>
        <v>0</v>
      </c>
      <c r="L374" s="91"/>
      <c r="M374" s="92"/>
      <c r="N374" s="92"/>
      <c r="O374" s="93">
        <v>0</v>
      </c>
      <c r="P374" s="86"/>
      <c r="Q374" s="82">
        <f t="shared" si="20"/>
        <v>369</v>
      </c>
    </row>
    <row r="375" spans="1:17" ht="20.25" customHeight="1">
      <c r="A375" s="85"/>
      <c r="B375" s="102"/>
      <c r="C375" s="86"/>
      <c r="D375" s="87"/>
      <c r="E375" s="88" t="str">
        <f>IFERROR(VLOOKUP(D375,ProductMaster!$A:$B,2,FALSE),"")</f>
        <v/>
      </c>
      <c r="F375" s="88" t="str">
        <f>IFERROR(VLOOKUP(D375,ProductMaster!$A:$C,3,FALSE),"")</f>
        <v/>
      </c>
      <c r="G375" s="89" t="str">
        <f>IFERROR(VLOOKUP($D375,ProductMaster!$A:$O,4,FALSE),"")</f>
        <v/>
      </c>
      <c r="H375" s="90"/>
      <c r="I375" s="123">
        <f>IFERROR(VLOOKUP(E375,ProductMaster!B:G,6,FALSE),0)</f>
        <v>0</v>
      </c>
      <c r="J375" s="123">
        <f t="shared" si="19"/>
        <v>0</v>
      </c>
      <c r="K375" s="123">
        <f t="shared" si="21"/>
        <v>0</v>
      </c>
      <c r="L375" s="91"/>
      <c r="M375" s="92"/>
      <c r="N375" s="92"/>
      <c r="O375" s="93">
        <v>0</v>
      </c>
      <c r="P375" s="86"/>
      <c r="Q375" s="82">
        <f t="shared" si="20"/>
        <v>370</v>
      </c>
    </row>
    <row r="376" spans="1:17" ht="20.25" customHeight="1">
      <c r="A376" s="85"/>
      <c r="B376" s="102"/>
      <c r="C376" s="86"/>
      <c r="D376" s="87"/>
      <c r="E376" s="88" t="str">
        <f>IFERROR(VLOOKUP(D376,ProductMaster!$A:$B,2,FALSE),"")</f>
        <v/>
      </c>
      <c r="F376" s="88" t="str">
        <f>IFERROR(VLOOKUP(D376,ProductMaster!$A:$C,3,FALSE),"")</f>
        <v/>
      </c>
      <c r="G376" s="89" t="str">
        <f>IFERROR(VLOOKUP($D376,ProductMaster!$A:$O,4,FALSE),"")</f>
        <v/>
      </c>
      <c r="H376" s="90"/>
      <c r="I376" s="123">
        <f>IFERROR(VLOOKUP(E376,ProductMaster!B:G,6,FALSE),0)</f>
        <v>0</v>
      </c>
      <c r="J376" s="123">
        <f t="shared" si="19"/>
        <v>0</v>
      </c>
      <c r="K376" s="123">
        <f t="shared" si="21"/>
        <v>0</v>
      </c>
      <c r="L376" s="91"/>
      <c r="M376" s="92"/>
      <c r="N376" s="92"/>
      <c r="O376" s="93">
        <v>0</v>
      </c>
      <c r="P376" s="86"/>
      <c r="Q376" s="82">
        <f t="shared" si="20"/>
        <v>371</v>
      </c>
    </row>
    <row r="377" spans="1:17" ht="20.25" customHeight="1">
      <c r="A377" s="85"/>
      <c r="B377" s="102"/>
      <c r="C377" s="86"/>
      <c r="D377" s="87"/>
      <c r="E377" s="88" t="str">
        <f>IFERROR(VLOOKUP(D377,ProductMaster!$A:$B,2,FALSE),"")</f>
        <v/>
      </c>
      <c r="F377" s="88" t="str">
        <f>IFERROR(VLOOKUP(D377,ProductMaster!$A:$C,3,FALSE),"")</f>
        <v/>
      </c>
      <c r="G377" s="89" t="str">
        <f>IFERROR(VLOOKUP($D377,ProductMaster!$A:$O,4,FALSE),"")</f>
        <v/>
      </c>
      <c r="H377" s="90"/>
      <c r="I377" s="123">
        <f>IFERROR(VLOOKUP(E377,ProductMaster!B:G,6,FALSE),0)</f>
        <v>0</v>
      </c>
      <c r="J377" s="123">
        <f t="shared" si="19"/>
        <v>0</v>
      </c>
      <c r="K377" s="123">
        <f t="shared" si="21"/>
        <v>0</v>
      </c>
      <c r="L377" s="91"/>
      <c r="M377" s="92"/>
      <c r="N377" s="92"/>
      <c r="O377" s="93">
        <v>0</v>
      </c>
      <c r="P377" s="86"/>
      <c r="Q377" s="82">
        <f t="shared" si="20"/>
        <v>372</v>
      </c>
    </row>
    <row r="378" spans="1:17" ht="20.25" customHeight="1">
      <c r="A378" s="85"/>
      <c r="B378" s="102"/>
      <c r="C378" s="86"/>
      <c r="D378" s="87"/>
      <c r="E378" s="88" t="str">
        <f>IFERROR(VLOOKUP(D378,ProductMaster!$A:$B,2,FALSE),"")</f>
        <v/>
      </c>
      <c r="F378" s="88" t="str">
        <f>IFERROR(VLOOKUP(D378,ProductMaster!$A:$C,3,FALSE),"")</f>
        <v/>
      </c>
      <c r="G378" s="89" t="str">
        <f>IFERROR(VLOOKUP($D378,ProductMaster!$A:$O,4,FALSE),"")</f>
        <v/>
      </c>
      <c r="H378" s="90"/>
      <c r="I378" s="123">
        <f>IFERROR(VLOOKUP(E378,ProductMaster!B:G,6,FALSE),0)</f>
        <v>0</v>
      </c>
      <c r="J378" s="123">
        <f t="shared" si="19"/>
        <v>0</v>
      </c>
      <c r="K378" s="123">
        <f t="shared" si="21"/>
        <v>0</v>
      </c>
      <c r="L378" s="91"/>
      <c r="M378" s="92"/>
      <c r="N378" s="92"/>
      <c r="O378" s="93">
        <v>0</v>
      </c>
      <c r="P378" s="86"/>
      <c r="Q378" s="82">
        <f t="shared" si="20"/>
        <v>373</v>
      </c>
    </row>
    <row r="379" spans="1:17" ht="20.25" customHeight="1">
      <c r="A379" s="85"/>
      <c r="B379" s="102"/>
      <c r="C379" s="86"/>
      <c r="D379" s="87"/>
      <c r="E379" s="88" t="str">
        <f>IFERROR(VLOOKUP(D379,ProductMaster!$A:$B,2,FALSE),"")</f>
        <v/>
      </c>
      <c r="F379" s="88" t="str">
        <f>IFERROR(VLOOKUP(D379,ProductMaster!$A:$C,3,FALSE),"")</f>
        <v/>
      </c>
      <c r="G379" s="89" t="str">
        <f>IFERROR(VLOOKUP($D379,ProductMaster!$A:$O,4,FALSE),"")</f>
        <v/>
      </c>
      <c r="H379" s="90"/>
      <c r="I379" s="123">
        <f>IFERROR(VLOOKUP(E379,ProductMaster!B:G,6,FALSE),0)</f>
        <v>0</v>
      </c>
      <c r="J379" s="123">
        <f t="shared" si="19"/>
        <v>0</v>
      </c>
      <c r="K379" s="123">
        <f t="shared" si="21"/>
        <v>0</v>
      </c>
      <c r="L379" s="91"/>
      <c r="M379" s="92"/>
      <c r="N379" s="92"/>
      <c r="O379" s="93">
        <v>0</v>
      </c>
      <c r="P379" s="86"/>
      <c r="Q379" s="82">
        <f t="shared" si="20"/>
        <v>374</v>
      </c>
    </row>
    <row r="380" spans="1:17" ht="20.25" customHeight="1">
      <c r="A380" s="85"/>
      <c r="B380" s="102"/>
      <c r="C380" s="86"/>
      <c r="D380" s="87"/>
      <c r="E380" s="88" t="str">
        <f>IFERROR(VLOOKUP(D380,ProductMaster!$A:$B,2,FALSE),"")</f>
        <v/>
      </c>
      <c r="F380" s="88" t="str">
        <f>IFERROR(VLOOKUP(D380,ProductMaster!$A:$C,3,FALSE),"")</f>
        <v/>
      </c>
      <c r="G380" s="89" t="str">
        <f>IFERROR(VLOOKUP($D380,ProductMaster!$A:$O,4,FALSE),"")</f>
        <v/>
      </c>
      <c r="H380" s="90"/>
      <c r="I380" s="123">
        <f>IFERROR(VLOOKUP(E380,ProductMaster!B:G,6,FALSE),0)</f>
        <v>0</v>
      </c>
      <c r="J380" s="123">
        <f t="shared" si="19"/>
        <v>0</v>
      </c>
      <c r="K380" s="123">
        <f t="shared" si="21"/>
        <v>0</v>
      </c>
      <c r="L380" s="91"/>
      <c r="M380" s="92"/>
      <c r="N380" s="92"/>
      <c r="O380" s="93">
        <v>0</v>
      </c>
      <c r="P380" s="86"/>
      <c r="Q380" s="82">
        <f t="shared" si="20"/>
        <v>375</v>
      </c>
    </row>
    <row r="381" spans="1:17" ht="20.25" customHeight="1">
      <c r="A381" s="85"/>
      <c r="B381" s="102"/>
      <c r="C381" s="86"/>
      <c r="D381" s="87"/>
      <c r="E381" s="88" t="str">
        <f>IFERROR(VLOOKUP(D381,ProductMaster!$A:$B,2,FALSE),"")</f>
        <v/>
      </c>
      <c r="F381" s="88" t="str">
        <f>IFERROR(VLOOKUP(D381,ProductMaster!$A:$C,3,FALSE),"")</f>
        <v/>
      </c>
      <c r="G381" s="89" t="str">
        <f>IFERROR(VLOOKUP($D381,ProductMaster!$A:$O,4,FALSE),"")</f>
        <v/>
      </c>
      <c r="H381" s="90"/>
      <c r="I381" s="123">
        <f>IFERROR(VLOOKUP(E381,ProductMaster!B:G,6,FALSE),0)</f>
        <v>0</v>
      </c>
      <c r="J381" s="123">
        <f t="shared" si="19"/>
        <v>0</v>
      </c>
      <c r="K381" s="123">
        <f t="shared" si="21"/>
        <v>0</v>
      </c>
      <c r="L381" s="91"/>
      <c r="M381" s="92"/>
      <c r="N381" s="92"/>
      <c r="O381" s="93">
        <v>0</v>
      </c>
      <c r="P381" s="86"/>
      <c r="Q381" s="82">
        <f t="shared" si="20"/>
        <v>376</v>
      </c>
    </row>
    <row r="382" spans="1:17" ht="20.25" customHeight="1">
      <c r="A382" s="85"/>
      <c r="B382" s="102"/>
      <c r="C382" s="86"/>
      <c r="D382" s="87"/>
      <c r="E382" s="88" t="str">
        <f>IFERROR(VLOOKUP(D382,ProductMaster!$A:$B,2,FALSE),"")</f>
        <v/>
      </c>
      <c r="F382" s="88" t="str">
        <f>IFERROR(VLOOKUP(D382,ProductMaster!$A:$C,3,FALSE),"")</f>
        <v/>
      </c>
      <c r="G382" s="89" t="str">
        <f>IFERROR(VLOOKUP($D382,ProductMaster!$A:$O,4,FALSE),"")</f>
        <v/>
      </c>
      <c r="H382" s="90"/>
      <c r="I382" s="123">
        <f>IFERROR(VLOOKUP(E382,ProductMaster!B:G,6,FALSE),0)</f>
        <v>0</v>
      </c>
      <c r="J382" s="123">
        <f t="shared" si="19"/>
        <v>0</v>
      </c>
      <c r="K382" s="123">
        <f t="shared" si="21"/>
        <v>0</v>
      </c>
      <c r="L382" s="91"/>
      <c r="M382" s="92"/>
      <c r="N382" s="92"/>
      <c r="O382" s="93">
        <v>0</v>
      </c>
      <c r="P382" s="86"/>
      <c r="Q382" s="82">
        <f t="shared" si="20"/>
        <v>377</v>
      </c>
    </row>
    <row r="383" spans="1:17" ht="20.25" customHeight="1">
      <c r="A383" s="85"/>
      <c r="B383" s="102"/>
      <c r="C383" s="86"/>
      <c r="D383" s="87"/>
      <c r="E383" s="88" t="str">
        <f>IFERROR(VLOOKUP(D383,ProductMaster!$A:$B,2,FALSE),"")</f>
        <v/>
      </c>
      <c r="F383" s="88" t="str">
        <f>IFERROR(VLOOKUP(D383,ProductMaster!$A:$C,3,FALSE),"")</f>
        <v/>
      </c>
      <c r="G383" s="89" t="str">
        <f>IFERROR(VLOOKUP($D383,ProductMaster!$A:$O,4,FALSE),"")</f>
        <v/>
      </c>
      <c r="H383" s="90"/>
      <c r="I383" s="123">
        <f>IFERROR(VLOOKUP(E383,ProductMaster!B:G,6,FALSE),0)</f>
        <v>0</v>
      </c>
      <c r="J383" s="123">
        <f t="shared" si="19"/>
        <v>0</v>
      </c>
      <c r="K383" s="123">
        <f t="shared" si="21"/>
        <v>0</v>
      </c>
      <c r="L383" s="91"/>
      <c r="M383" s="92"/>
      <c r="N383" s="92"/>
      <c r="O383" s="93">
        <v>0</v>
      </c>
      <c r="P383" s="86"/>
      <c r="Q383" s="82">
        <f t="shared" si="20"/>
        <v>378</v>
      </c>
    </row>
    <row r="384" spans="1:17" ht="20.25" customHeight="1">
      <c r="A384" s="85"/>
      <c r="B384" s="102"/>
      <c r="C384" s="86"/>
      <c r="D384" s="87"/>
      <c r="E384" s="88" t="str">
        <f>IFERROR(VLOOKUP(D384,ProductMaster!$A:$B,2,FALSE),"")</f>
        <v/>
      </c>
      <c r="F384" s="88" t="str">
        <f>IFERROR(VLOOKUP(D384,ProductMaster!$A:$C,3,FALSE),"")</f>
        <v/>
      </c>
      <c r="G384" s="89" t="str">
        <f>IFERROR(VLOOKUP($D384,ProductMaster!$A:$O,4,FALSE),"")</f>
        <v/>
      </c>
      <c r="H384" s="90"/>
      <c r="I384" s="123">
        <f>IFERROR(VLOOKUP(E384,ProductMaster!B:G,6,FALSE),0)</f>
        <v>0</v>
      </c>
      <c r="J384" s="123">
        <f t="shared" si="19"/>
        <v>0</v>
      </c>
      <c r="K384" s="123">
        <f t="shared" si="21"/>
        <v>0</v>
      </c>
      <c r="L384" s="91"/>
      <c r="M384" s="92"/>
      <c r="N384" s="92"/>
      <c r="O384" s="93">
        <v>0</v>
      </c>
      <c r="P384" s="86"/>
      <c r="Q384" s="82">
        <f t="shared" si="20"/>
        <v>379</v>
      </c>
    </row>
    <row r="385" spans="1:17" ht="20.25" customHeight="1">
      <c r="A385" s="85"/>
      <c r="B385" s="102"/>
      <c r="C385" s="86"/>
      <c r="D385" s="87"/>
      <c r="E385" s="88" t="str">
        <f>IFERROR(VLOOKUP(D385,ProductMaster!$A:$B,2,FALSE),"")</f>
        <v/>
      </c>
      <c r="F385" s="88" t="str">
        <f>IFERROR(VLOOKUP(D385,ProductMaster!$A:$C,3,FALSE),"")</f>
        <v/>
      </c>
      <c r="G385" s="89" t="str">
        <f>IFERROR(VLOOKUP($D385,ProductMaster!$A:$O,4,FALSE),"")</f>
        <v/>
      </c>
      <c r="H385" s="90"/>
      <c r="I385" s="123">
        <f>IFERROR(VLOOKUP(E385,ProductMaster!B:G,6,FALSE),0)</f>
        <v>0</v>
      </c>
      <c r="J385" s="123">
        <f t="shared" si="19"/>
        <v>0</v>
      </c>
      <c r="K385" s="123">
        <f t="shared" si="21"/>
        <v>0</v>
      </c>
      <c r="L385" s="91"/>
      <c r="M385" s="92"/>
      <c r="N385" s="92"/>
      <c r="O385" s="93">
        <v>0</v>
      </c>
      <c r="P385" s="86"/>
      <c r="Q385" s="82">
        <f t="shared" si="20"/>
        <v>380</v>
      </c>
    </row>
    <row r="386" spans="1:17" ht="20.25" customHeight="1">
      <c r="A386" s="85"/>
      <c r="B386" s="102"/>
      <c r="C386" s="86"/>
      <c r="D386" s="87"/>
      <c r="E386" s="88" t="str">
        <f>IFERROR(VLOOKUP(D386,ProductMaster!$A:$B,2,FALSE),"")</f>
        <v/>
      </c>
      <c r="F386" s="88" t="str">
        <f>IFERROR(VLOOKUP(D386,ProductMaster!$A:$C,3,FALSE),"")</f>
        <v/>
      </c>
      <c r="G386" s="89" t="str">
        <f>IFERROR(VLOOKUP($D386,ProductMaster!$A:$O,4,FALSE),"")</f>
        <v/>
      </c>
      <c r="H386" s="90"/>
      <c r="I386" s="123">
        <f>IFERROR(VLOOKUP(E386,ProductMaster!B:G,6,FALSE),0)</f>
        <v>0</v>
      </c>
      <c r="J386" s="123">
        <f t="shared" si="19"/>
        <v>0</v>
      </c>
      <c r="K386" s="123">
        <f t="shared" ref="K386:K449" si="22">ROUND(SUM(H386*I386),2)</f>
        <v>0</v>
      </c>
      <c r="L386" s="91"/>
      <c r="M386" s="92"/>
      <c r="N386" s="92"/>
      <c r="O386" s="93">
        <v>0</v>
      </c>
      <c r="P386" s="86"/>
      <c r="Q386" s="82">
        <f t="shared" si="20"/>
        <v>381</v>
      </c>
    </row>
    <row r="387" spans="1:17" ht="20.25" customHeight="1">
      <c r="A387" s="85"/>
      <c r="B387" s="102"/>
      <c r="C387" s="86"/>
      <c r="D387" s="87"/>
      <c r="E387" s="88" t="str">
        <f>IFERROR(VLOOKUP(D387,ProductMaster!$A:$B,2,FALSE),"")</f>
        <v/>
      </c>
      <c r="F387" s="88" t="str">
        <f>IFERROR(VLOOKUP(D387,ProductMaster!$A:$C,3,FALSE),"")</f>
        <v/>
      </c>
      <c r="G387" s="89" t="str">
        <f>IFERROR(VLOOKUP($D387,ProductMaster!$A:$O,4,FALSE),"")</f>
        <v/>
      </c>
      <c r="H387" s="90"/>
      <c r="I387" s="123">
        <f>IFERROR(VLOOKUP(E387,ProductMaster!B:G,6,FALSE),0)</f>
        <v>0</v>
      </c>
      <c r="J387" s="123">
        <f t="shared" ref="J387:J450" si="23">ROUND(SUM(I387*7%),2)</f>
        <v>0</v>
      </c>
      <c r="K387" s="123">
        <f t="shared" si="22"/>
        <v>0</v>
      </c>
      <c r="L387" s="91"/>
      <c r="M387" s="92"/>
      <c r="N387" s="92"/>
      <c r="O387" s="93">
        <v>0</v>
      </c>
      <c r="P387" s="86"/>
      <c r="Q387" s="82">
        <f t="shared" ref="Q387:Q450" si="24">IF(B387=B386,Q386+1,1)</f>
        <v>382</v>
      </c>
    </row>
    <row r="388" spans="1:17" ht="20.25" customHeight="1">
      <c r="A388" s="85"/>
      <c r="B388" s="102"/>
      <c r="C388" s="86"/>
      <c r="D388" s="87"/>
      <c r="E388" s="88" t="str">
        <f>IFERROR(VLOOKUP(D388,ProductMaster!$A:$B,2,FALSE),"")</f>
        <v/>
      </c>
      <c r="F388" s="88" t="str">
        <f>IFERROR(VLOOKUP(D388,ProductMaster!$A:$C,3,FALSE),"")</f>
        <v/>
      </c>
      <c r="G388" s="89" t="str">
        <f>IFERROR(VLOOKUP($D388,ProductMaster!$A:$O,4,FALSE),"")</f>
        <v/>
      </c>
      <c r="H388" s="90"/>
      <c r="I388" s="123">
        <f>IFERROR(VLOOKUP(E388,ProductMaster!B:G,6,FALSE),0)</f>
        <v>0</v>
      </c>
      <c r="J388" s="123">
        <f t="shared" si="23"/>
        <v>0</v>
      </c>
      <c r="K388" s="123">
        <f t="shared" si="22"/>
        <v>0</v>
      </c>
      <c r="L388" s="91"/>
      <c r="M388" s="92"/>
      <c r="N388" s="92"/>
      <c r="O388" s="93">
        <v>0</v>
      </c>
      <c r="P388" s="86"/>
      <c r="Q388" s="82">
        <f t="shared" si="24"/>
        <v>383</v>
      </c>
    </row>
    <row r="389" spans="1:17" ht="20.25" customHeight="1">
      <c r="A389" s="85"/>
      <c r="B389" s="102"/>
      <c r="C389" s="86"/>
      <c r="D389" s="87"/>
      <c r="E389" s="88" t="str">
        <f>IFERROR(VLOOKUP(D389,ProductMaster!$A:$B,2,FALSE),"")</f>
        <v/>
      </c>
      <c r="F389" s="88" t="str">
        <f>IFERROR(VLOOKUP(D389,ProductMaster!$A:$C,3,FALSE),"")</f>
        <v/>
      </c>
      <c r="G389" s="89" t="str">
        <f>IFERROR(VLOOKUP($D389,ProductMaster!$A:$O,4,FALSE),"")</f>
        <v/>
      </c>
      <c r="H389" s="90"/>
      <c r="I389" s="123">
        <f>IFERROR(VLOOKUP(E389,ProductMaster!B:G,6,FALSE),0)</f>
        <v>0</v>
      </c>
      <c r="J389" s="123">
        <f t="shared" si="23"/>
        <v>0</v>
      </c>
      <c r="K389" s="123">
        <f t="shared" si="22"/>
        <v>0</v>
      </c>
      <c r="L389" s="91"/>
      <c r="M389" s="92"/>
      <c r="N389" s="92"/>
      <c r="O389" s="93">
        <v>0</v>
      </c>
      <c r="P389" s="86"/>
      <c r="Q389" s="82">
        <f t="shared" si="24"/>
        <v>384</v>
      </c>
    </row>
    <row r="390" spans="1:17" ht="20.25" customHeight="1">
      <c r="A390" s="85"/>
      <c r="B390" s="102"/>
      <c r="C390" s="86"/>
      <c r="D390" s="87"/>
      <c r="E390" s="88" t="str">
        <f>IFERROR(VLOOKUP(D390,ProductMaster!$A:$B,2,FALSE),"")</f>
        <v/>
      </c>
      <c r="F390" s="88" t="str">
        <f>IFERROR(VLOOKUP(D390,ProductMaster!$A:$C,3,FALSE),"")</f>
        <v/>
      </c>
      <c r="G390" s="89" t="str">
        <f>IFERROR(VLOOKUP($D390,ProductMaster!$A:$O,4,FALSE),"")</f>
        <v/>
      </c>
      <c r="H390" s="90"/>
      <c r="I390" s="123">
        <f>IFERROR(VLOOKUP(E390,ProductMaster!B:G,6,FALSE),0)</f>
        <v>0</v>
      </c>
      <c r="J390" s="123">
        <f t="shared" si="23"/>
        <v>0</v>
      </c>
      <c r="K390" s="123">
        <f t="shared" si="22"/>
        <v>0</v>
      </c>
      <c r="L390" s="91"/>
      <c r="M390" s="92"/>
      <c r="N390" s="92"/>
      <c r="O390" s="93">
        <v>0</v>
      </c>
      <c r="P390" s="86"/>
      <c r="Q390" s="82">
        <f t="shared" si="24"/>
        <v>385</v>
      </c>
    </row>
    <row r="391" spans="1:17" ht="20.25" customHeight="1">
      <c r="A391" s="85"/>
      <c r="B391" s="102"/>
      <c r="C391" s="86"/>
      <c r="D391" s="87"/>
      <c r="E391" s="88" t="str">
        <f>IFERROR(VLOOKUP(D391,ProductMaster!$A:$B,2,FALSE),"")</f>
        <v/>
      </c>
      <c r="F391" s="88" t="str">
        <f>IFERROR(VLOOKUP(D391,ProductMaster!$A:$C,3,FALSE),"")</f>
        <v/>
      </c>
      <c r="G391" s="89" t="str">
        <f>IFERROR(VLOOKUP($D391,ProductMaster!$A:$O,4,FALSE),"")</f>
        <v/>
      </c>
      <c r="H391" s="90"/>
      <c r="I391" s="123">
        <f>IFERROR(VLOOKUP(E391,ProductMaster!B:G,6,FALSE),0)</f>
        <v>0</v>
      </c>
      <c r="J391" s="123">
        <f t="shared" si="23"/>
        <v>0</v>
      </c>
      <c r="K391" s="123">
        <f t="shared" si="22"/>
        <v>0</v>
      </c>
      <c r="L391" s="91"/>
      <c r="M391" s="92"/>
      <c r="N391" s="92"/>
      <c r="O391" s="93">
        <v>0</v>
      </c>
      <c r="P391" s="86"/>
      <c r="Q391" s="82">
        <f t="shared" si="24"/>
        <v>386</v>
      </c>
    </row>
    <row r="392" spans="1:17" ht="20.25" customHeight="1">
      <c r="A392" s="85"/>
      <c r="B392" s="102"/>
      <c r="C392" s="86"/>
      <c r="D392" s="87"/>
      <c r="E392" s="88" t="str">
        <f>IFERROR(VLOOKUP(D392,ProductMaster!$A:$B,2,FALSE),"")</f>
        <v/>
      </c>
      <c r="F392" s="88" t="str">
        <f>IFERROR(VLOOKUP(D392,ProductMaster!$A:$C,3,FALSE),"")</f>
        <v/>
      </c>
      <c r="G392" s="89" t="str">
        <f>IFERROR(VLOOKUP($D392,ProductMaster!$A:$O,4,FALSE),"")</f>
        <v/>
      </c>
      <c r="H392" s="90"/>
      <c r="I392" s="123">
        <f>IFERROR(VLOOKUP(E392,ProductMaster!B:G,6,FALSE),0)</f>
        <v>0</v>
      </c>
      <c r="J392" s="123">
        <f t="shared" si="23"/>
        <v>0</v>
      </c>
      <c r="K392" s="123">
        <f t="shared" si="22"/>
        <v>0</v>
      </c>
      <c r="L392" s="91"/>
      <c r="M392" s="92"/>
      <c r="N392" s="92"/>
      <c r="O392" s="93">
        <v>0</v>
      </c>
      <c r="P392" s="86"/>
      <c r="Q392" s="82">
        <f t="shared" si="24"/>
        <v>387</v>
      </c>
    </row>
    <row r="393" spans="1:17" ht="20.25" customHeight="1">
      <c r="A393" s="85"/>
      <c r="B393" s="102"/>
      <c r="C393" s="86"/>
      <c r="D393" s="87"/>
      <c r="E393" s="88" t="str">
        <f>IFERROR(VLOOKUP(D393,ProductMaster!$A:$B,2,FALSE),"")</f>
        <v/>
      </c>
      <c r="F393" s="88" t="str">
        <f>IFERROR(VLOOKUP(D393,ProductMaster!$A:$C,3,FALSE),"")</f>
        <v/>
      </c>
      <c r="G393" s="89" t="str">
        <f>IFERROR(VLOOKUP($D393,ProductMaster!$A:$O,4,FALSE),"")</f>
        <v/>
      </c>
      <c r="H393" s="90"/>
      <c r="I393" s="123">
        <f>IFERROR(VLOOKUP(E393,ProductMaster!B:G,6,FALSE),0)</f>
        <v>0</v>
      </c>
      <c r="J393" s="123">
        <f t="shared" si="23"/>
        <v>0</v>
      </c>
      <c r="K393" s="123">
        <f t="shared" si="22"/>
        <v>0</v>
      </c>
      <c r="L393" s="91"/>
      <c r="M393" s="92"/>
      <c r="N393" s="92"/>
      <c r="O393" s="93">
        <v>0</v>
      </c>
      <c r="P393" s="86"/>
      <c r="Q393" s="82">
        <f t="shared" si="24"/>
        <v>388</v>
      </c>
    </row>
    <row r="394" spans="1:17" ht="20.25" customHeight="1">
      <c r="A394" s="85"/>
      <c r="B394" s="102"/>
      <c r="C394" s="86"/>
      <c r="D394" s="87"/>
      <c r="E394" s="88" t="str">
        <f>IFERROR(VLOOKUP(D394,ProductMaster!$A:$B,2,FALSE),"")</f>
        <v/>
      </c>
      <c r="F394" s="88" t="str">
        <f>IFERROR(VLOOKUP(D394,ProductMaster!$A:$C,3,FALSE),"")</f>
        <v/>
      </c>
      <c r="G394" s="89" t="str">
        <f>IFERROR(VLOOKUP($D394,ProductMaster!$A:$O,4,FALSE),"")</f>
        <v/>
      </c>
      <c r="H394" s="90"/>
      <c r="I394" s="123">
        <f>IFERROR(VLOOKUP(E394,ProductMaster!B:G,6,FALSE),0)</f>
        <v>0</v>
      </c>
      <c r="J394" s="123">
        <f t="shared" si="23"/>
        <v>0</v>
      </c>
      <c r="K394" s="123">
        <f t="shared" si="22"/>
        <v>0</v>
      </c>
      <c r="L394" s="91"/>
      <c r="M394" s="92"/>
      <c r="N394" s="92"/>
      <c r="O394" s="93">
        <v>0</v>
      </c>
      <c r="P394" s="86"/>
      <c r="Q394" s="82">
        <f t="shared" si="24"/>
        <v>389</v>
      </c>
    </row>
    <row r="395" spans="1:17" ht="20.25" customHeight="1">
      <c r="A395" s="85"/>
      <c r="B395" s="102"/>
      <c r="C395" s="86"/>
      <c r="D395" s="87"/>
      <c r="E395" s="88" t="str">
        <f>IFERROR(VLOOKUP(D395,ProductMaster!$A:$B,2,FALSE),"")</f>
        <v/>
      </c>
      <c r="F395" s="88" t="str">
        <f>IFERROR(VLOOKUP(D395,ProductMaster!$A:$C,3,FALSE),"")</f>
        <v/>
      </c>
      <c r="G395" s="89" t="str">
        <f>IFERROR(VLOOKUP($D395,ProductMaster!$A:$O,4,FALSE),"")</f>
        <v/>
      </c>
      <c r="H395" s="90"/>
      <c r="I395" s="123">
        <f>IFERROR(VLOOKUP(E395,ProductMaster!B:G,6,FALSE),0)</f>
        <v>0</v>
      </c>
      <c r="J395" s="123">
        <f t="shared" si="23"/>
        <v>0</v>
      </c>
      <c r="K395" s="123">
        <f t="shared" si="22"/>
        <v>0</v>
      </c>
      <c r="L395" s="91"/>
      <c r="M395" s="92"/>
      <c r="N395" s="92"/>
      <c r="O395" s="93">
        <v>0</v>
      </c>
      <c r="P395" s="86"/>
      <c r="Q395" s="82">
        <f t="shared" si="24"/>
        <v>390</v>
      </c>
    </row>
    <row r="396" spans="1:17" ht="20.25" customHeight="1">
      <c r="A396" s="85"/>
      <c r="B396" s="102"/>
      <c r="C396" s="86"/>
      <c r="D396" s="87"/>
      <c r="E396" s="88" t="str">
        <f>IFERROR(VLOOKUP(D396,ProductMaster!$A:$B,2,FALSE),"")</f>
        <v/>
      </c>
      <c r="F396" s="88" t="str">
        <f>IFERROR(VLOOKUP(D396,ProductMaster!$A:$C,3,FALSE),"")</f>
        <v/>
      </c>
      <c r="G396" s="89" t="str">
        <f>IFERROR(VLOOKUP($D396,ProductMaster!$A:$O,4,FALSE),"")</f>
        <v/>
      </c>
      <c r="H396" s="90"/>
      <c r="I396" s="123">
        <f>IFERROR(VLOOKUP(E396,ProductMaster!B:G,6,FALSE),0)</f>
        <v>0</v>
      </c>
      <c r="J396" s="123">
        <f t="shared" si="23"/>
        <v>0</v>
      </c>
      <c r="K396" s="123">
        <f t="shared" si="22"/>
        <v>0</v>
      </c>
      <c r="L396" s="91"/>
      <c r="M396" s="92"/>
      <c r="N396" s="92"/>
      <c r="O396" s="93">
        <v>0</v>
      </c>
      <c r="P396" s="86"/>
      <c r="Q396" s="82">
        <f t="shared" si="24"/>
        <v>391</v>
      </c>
    </row>
    <row r="397" spans="1:17" ht="20.25" customHeight="1">
      <c r="A397" s="85"/>
      <c r="B397" s="102"/>
      <c r="C397" s="86"/>
      <c r="D397" s="87"/>
      <c r="E397" s="88" t="str">
        <f>IFERROR(VLOOKUP(D397,ProductMaster!$A:$B,2,FALSE),"")</f>
        <v/>
      </c>
      <c r="F397" s="88" t="str">
        <f>IFERROR(VLOOKUP(D397,ProductMaster!$A:$C,3,FALSE),"")</f>
        <v/>
      </c>
      <c r="G397" s="89" t="str">
        <f>IFERROR(VLOOKUP($D397,ProductMaster!$A:$O,4,FALSE),"")</f>
        <v/>
      </c>
      <c r="H397" s="90"/>
      <c r="I397" s="123">
        <f>IFERROR(VLOOKUP(E397,ProductMaster!B:G,6,FALSE),0)</f>
        <v>0</v>
      </c>
      <c r="J397" s="123">
        <f t="shared" si="23"/>
        <v>0</v>
      </c>
      <c r="K397" s="123">
        <f t="shared" si="22"/>
        <v>0</v>
      </c>
      <c r="L397" s="91"/>
      <c r="M397" s="92"/>
      <c r="N397" s="92"/>
      <c r="O397" s="93">
        <v>0</v>
      </c>
      <c r="P397" s="86"/>
      <c r="Q397" s="82">
        <f t="shared" si="24"/>
        <v>392</v>
      </c>
    </row>
    <row r="398" spans="1:17" ht="20.25" customHeight="1">
      <c r="A398" s="85"/>
      <c r="B398" s="102"/>
      <c r="C398" s="86"/>
      <c r="D398" s="87"/>
      <c r="E398" s="88" t="str">
        <f>IFERROR(VLOOKUP(D398,ProductMaster!$A:$B,2,FALSE),"")</f>
        <v/>
      </c>
      <c r="F398" s="88" t="str">
        <f>IFERROR(VLOOKUP(D398,ProductMaster!$A:$C,3,FALSE),"")</f>
        <v/>
      </c>
      <c r="G398" s="89" t="str">
        <f>IFERROR(VLOOKUP($D398,ProductMaster!$A:$O,4,FALSE),"")</f>
        <v/>
      </c>
      <c r="H398" s="90"/>
      <c r="I398" s="123">
        <f>IFERROR(VLOOKUP(E398,ProductMaster!B:G,6,FALSE),0)</f>
        <v>0</v>
      </c>
      <c r="J398" s="123">
        <f t="shared" si="23"/>
        <v>0</v>
      </c>
      <c r="K398" s="123">
        <f t="shared" si="22"/>
        <v>0</v>
      </c>
      <c r="L398" s="91"/>
      <c r="M398" s="92"/>
      <c r="N398" s="92"/>
      <c r="O398" s="93">
        <v>0</v>
      </c>
      <c r="P398" s="86"/>
      <c r="Q398" s="82">
        <f t="shared" si="24"/>
        <v>393</v>
      </c>
    </row>
    <row r="399" spans="1:17" ht="20.25" customHeight="1">
      <c r="A399" s="85"/>
      <c r="B399" s="102"/>
      <c r="C399" s="86"/>
      <c r="D399" s="87"/>
      <c r="E399" s="88" t="str">
        <f>IFERROR(VLOOKUP(D399,ProductMaster!$A:$B,2,FALSE),"")</f>
        <v/>
      </c>
      <c r="F399" s="88" t="str">
        <f>IFERROR(VLOOKUP(D399,ProductMaster!$A:$C,3,FALSE),"")</f>
        <v/>
      </c>
      <c r="G399" s="89" t="str">
        <f>IFERROR(VLOOKUP($D399,ProductMaster!$A:$O,4,FALSE),"")</f>
        <v/>
      </c>
      <c r="H399" s="90"/>
      <c r="I399" s="123">
        <f>IFERROR(VLOOKUP(E399,ProductMaster!B:G,6,FALSE),0)</f>
        <v>0</v>
      </c>
      <c r="J399" s="123">
        <f t="shared" si="23"/>
        <v>0</v>
      </c>
      <c r="K399" s="123">
        <f t="shared" si="22"/>
        <v>0</v>
      </c>
      <c r="L399" s="91"/>
      <c r="M399" s="92"/>
      <c r="N399" s="92"/>
      <c r="O399" s="93">
        <v>0</v>
      </c>
      <c r="P399" s="86"/>
      <c r="Q399" s="82">
        <f t="shared" si="24"/>
        <v>394</v>
      </c>
    </row>
    <row r="400" spans="1:17" ht="20.25" customHeight="1">
      <c r="A400" s="85"/>
      <c r="B400" s="102"/>
      <c r="C400" s="86"/>
      <c r="D400" s="87"/>
      <c r="E400" s="88" t="str">
        <f>IFERROR(VLOOKUP(D400,ProductMaster!$A:$B,2,FALSE),"")</f>
        <v/>
      </c>
      <c r="F400" s="88" t="str">
        <f>IFERROR(VLOOKUP(D400,ProductMaster!$A:$C,3,FALSE),"")</f>
        <v/>
      </c>
      <c r="G400" s="89" t="str">
        <f>IFERROR(VLOOKUP($D400,ProductMaster!$A:$O,4,FALSE),"")</f>
        <v/>
      </c>
      <c r="H400" s="90"/>
      <c r="I400" s="123">
        <f>IFERROR(VLOOKUP(E400,ProductMaster!B:G,6,FALSE),0)</f>
        <v>0</v>
      </c>
      <c r="J400" s="123">
        <f t="shared" si="23"/>
        <v>0</v>
      </c>
      <c r="K400" s="123">
        <f t="shared" si="22"/>
        <v>0</v>
      </c>
      <c r="L400" s="91"/>
      <c r="M400" s="92"/>
      <c r="N400" s="92"/>
      <c r="O400" s="93">
        <v>0</v>
      </c>
      <c r="P400" s="86"/>
      <c r="Q400" s="82">
        <f t="shared" si="24"/>
        <v>395</v>
      </c>
    </row>
    <row r="401" spans="1:17" ht="20.25" customHeight="1">
      <c r="A401" s="85"/>
      <c r="B401" s="102"/>
      <c r="C401" s="86"/>
      <c r="D401" s="87"/>
      <c r="E401" s="88" t="str">
        <f>IFERROR(VLOOKUP(D401,ProductMaster!$A:$B,2,FALSE),"")</f>
        <v/>
      </c>
      <c r="F401" s="88" t="str">
        <f>IFERROR(VLOOKUP(D401,ProductMaster!$A:$C,3,FALSE),"")</f>
        <v/>
      </c>
      <c r="G401" s="89" t="str">
        <f>IFERROR(VLOOKUP($D401,ProductMaster!$A:$O,4,FALSE),"")</f>
        <v/>
      </c>
      <c r="H401" s="90"/>
      <c r="I401" s="123">
        <f>IFERROR(VLOOKUP(E401,ProductMaster!B:G,6,FALSE),0)</f>
        <v>0</v>
      </c>
      <c r="J401" s="123">
        <f t="shared" si="23"/>
        <v>0</v>
      </c>
      <c r="K401" s="123">
        <f t="shared" si="22"/>
        <v>0</v>
      </c>
      <c r="L401" s="91"/>
      <c r="M401" s="92"/>
      <c r="N401" s="92"/>
      <c r="O401" s="93">
        <v>0</v>
      </c>
      <c r="P401" s="86"/>
      <c r="Q401" s="82">
        <f t="shared" si="24"/>
        <v>396</v>
      </c>
    </row>
    <row r="402" spans="1:17" ht="20.25" customHeight="1">
      <c r="A402" s="85"/>
      <c r="B402" s="102"/>
      <c r="C402" s="86"/>
      <c r="D402" s="87"/>
      <c r="E402" s="88" t="str">
        <f>IFERROR(VLOOKUP(D402,ProductMaster!$A:$B,2,FALSE),"")</f>
        <v/>
      </c>
      <c r="F402" s="88" t="str">
        <f>IFERROR(VLOOKUP(D402,ProductMaster!$A:$C,3,FALSE),"")</f>
        <v/>
      </c>
      <c r="G402" s="89" t="str">
        <f>IFERROR(VLOOKUP($D402,ProductMaster!$A:$O,4,FALSE),"")</f>
        <v/>
      </c>
      <c r="H402" s="90"/>
      <c r="I402" s="123">
        <f>IFERROR(VLOOKUP(E402,ProductMaster!B:G,6,FALSE),0)</f>
        <v>0</v>
      </c>
      <c r="J402" s="123">
        <f t="shared" si="23"/>
        <v>0</v>
      </c>
      <c r="K402" s="123">
        <f t="shared" si="22"/>
        <v>0</v>
      </c>
      <c r="L402" s="91"/>
      <c r="M402" s="92"/>
      <c r="N402" s="92"/>
      <c r="O402" s="93">
        <v>0</v>
      </c>
      <c r="P402" s="86"/>
      <c r="Q402" s="82">
        <f t="shared" si="24"/>
        <v>397</v>
      </c>
    </row>
    <row r="403" spans="1:17" ht="20.25" customHeight="1">
      <c r="A403" s="85"/>
      <c r="B403" s="102"/>
      <c r="C403" s="86"/>
      <c r="D403" s="87"/>
      <c r="E403" s="88" t="str">
        <f>IFERROR(VLOOKUP(D403,ProductMaster!$A:$B,2,FALSE),"")</f>
        <v/>
      </c>
      <c r="F403" s="88" t="str">
        <f>IFERROR(VLOOKUP(D403,ProductMaster!$A:$C,3,FALSE),"")</f>
        <v/>
      </c>
      <c r="G403" s="89" t="str">
        <f>IFERROR(VLOOKUP($D403,ProductMaster!$A:$O,4,FALSE),"")</f>
        <v/>
      </c>
      <c r="H403" s="90"/>
      <c r="I403" s="123">
        <f>IFERROR(VLOOKUP(E403,ProductMaster!B:G,6,FALSE),0)</f>
        <v>0</v>
      </c>
      <c r="J403" s="123">
        <f t="shared" si="23"/>
        <v>0</v>
      </c>
      <c r="K403" s="123">
        <f t="shared" si="22"/>
        <v>0</v>
      </c>
      <c r="L403" s="91"/>
      <c r="M403" s="92"/>
      <c r="N403" s="92"/>
      <c r="O403" s="93">
        <v>0</v>
      </c>
      <c r="P403" s="86"/>
      <c r="Q403" s="82">
        <f t="shared" si="24"/>
        <v>398</v>
      </c>
    </row>
    <row r="404" spans="1:17" ht="20.25" customHeight="1">
      <c r="A404" s="85"/>
      <c r="B404" s="102"/>
      <c r="C404" s="86"/>
      <c r="D404" s="87"/>
      <c r="E404" s="88" t="str">
        <f>IFERROR(VLOOKUP(D404,ProductMaster!$A:$B,2,FALSE),"")</f>
        <v/>
      </c>
      <c r="F404" s="88" t="str">
        <f>IFERROR(VLOOKUP(D404,ProductMaster!$A:$C,3,FALSE),"")</f>
        <v/>
      </c>
      <c r="G404" s="89" t="str">
        <f>IFERROR(VLOOKUP($D404,ProductMaster!$A:$O,4,FALSE),"")</f>
        <v/>
      </c>
      <c r="H404" s="90"/>
      <c r="I404" s="123">
        <f>IFERROR(VLOOKUP(E404,ProductMaster!B:G,6,FALSE),0)</f>
        <v>0</v>
      </c>
      <c r="J404" s="123">
        <f t="shared" si="23"/>
        <v>0</v>
      </c>
      <c r="K404" s="123">
        <f t="shared" si="22"/>
        <v>0</v>
      </c>
      <c r="L404" s="91"/>
      <c r="M404" s="92"/>
      <c r="N404" s="92"/>
      <c r="O404" s="93">
        <v>0</v>
      </c>
      <c r="P404" s="86"/>
      <c r="Q404" s="82">
        <f t="shared" si="24"/>
        <v>399</v>
      </c>
    </row>
    <row r="405" spans="1:17" ht="20.25" customHeight="1">
      <c r="A405" s="85"/>
      <c r="B405" s="102"/>
      <c r="C405" s="86"/>
      <c r="D405" s="87"/>
      <c r="E405" s="88" t="str">
        <f>IFERROR(VLOOKUP(D405,ProductMaster!$A:$B,2,FALSE),"")</f>
        <v/>
      </c>
      <c r="F405" s="88" t="str">
        <f>IFERROR(VLOOKUP(D405,ProductMaster!$A:$C,3,FALSE),"")</f>
        <v/>
      </c>
      <c r="G405" s="89" t="str">
        <f>IFERROR(VLOOKUP($D405,ProductMaster!$A:$O,4,FALSE),"")</f>
        <v/>
      </c>
      <c r="H405" s="90"/>
      <c r="I405" s="123">
        <f>IFERROR(VLOOKUP(E405,ProductMaster!B:G,6,FALSE),0)</f>
        <v>0</v>
      </c>
      <c r="J405" s="123">
        <f t="shared" si="23"/>
        <v>0</v>
      </c>
      <c r="K405" s="123">
        <f t="shared" si="22"/>
        <v>0</v>
      </c>
      <c r="L405" s="91"/>
      <c r="M405" s="92"/>
      <c r="N405" s="92"/>
      <c r="O405" s="93">
        <v>0</v>
      </c>
      <c r="P405" s="86"/>
      <c r="Q405" s="82">
        <f t="shared" si="24"/>
        <v>400</v>
      </c>
    </row>
    <row r="406" spans="1:17" ht="20.25" customHeight="1">
      <c r="A406" s="85"/>
      <c r="B406" s="102"/>
      <c r="C406" s="86"/>
      <c r="D406" s="87"/>
      <c r="E406" s="88" t="str">
        <f>IFERROR(VLOOKUP(D406,ProductMaster!$A:$B,2,FALSE),"")</f>
        <v/>
      </c>
      <c r="F406" s="88" t="str">
        <f>IFERROR(VLOOKUP(D406,ProductMaster!$A:$C,3,FALSE),"")</f>
        <v/>
      </c>
      <c r="G406" s="89" t="str">
        <f>IFERROR(VLOOKUP($D406,ProductMaster!$A:$O,4,FALSE),"")</f>
        <v/>
      </c>
      <c r="H406" s="90"/>
      <c r="I406" s="123">
        <f>IFERROR(VLOOKUP(E406,ProductMaster!B:G,6,FALSE),0)</f>
        <v>0</v>
      </c>
      <c r="J406" s="123">
        <f t="shared" si="23"/>
        <v>0</v>
      </c>
      <c r="K406" s="123">
        <f t="shared" si="22"/>
        <v>0</v>
      </c>
      <c r="L406" s="91"/>
      <c r="M406" s="92"/>
      <c r="N406" s="92"/>
      <c r="O406" s="93">
        <v>0</v>
      </c>
      <c r="P406" s="86"/>
      <c r="Q406" s="82">
        <f t="shared" si="24"/>
        <v>401</v>
      </c>
    </row>
    <row r="407" spans="1:17" ht="20.25" customHeight="1">
      <c r="A407" s="85"/>
      <c r="B407" s="102"/>
      <c r="C407" s="86"/>
      <c r="D407" s="87"/>
      <c r="E407" s="88" t="str">
        <f>IFERROR(VLOOKUP(D407,ProductMaster!$A:$B,2,FALSE),"")</f>
        <v/>
      </c>
      <c r="F407" s="88" t="str">
        <f>IFERROR(VLOOKUP(D407,ProductMaster!$A:$C,3,FALSE),"")</f>
        <v/>
      </c>
      <c r="G407" s="89" t="str">
        <f>IFERROR(VLOOKUP($D407,ProductMaster!$A:$O,4,FALSE),"")</f>
        <v/>
      </c>
      <c r="H407" s="90"/>
      <c r="I407" s="123">
        <f>IFERROR(VLOOKUP(E407,ProductMaster!B:G,6,FALSE),0)</f>
        <v>0</v>
      </c>
      <c r="J407" s="123">
        <f t="shared" si="23"/>
        <v>0</v>
      </c>
      <c r="K407" s="123">
        <f t="shared" si="22"/>
        <v>0</v>
      </c>
      <c r="L407" s="91"/>
      <c r="M407" s="92"/>
      <c r="N407" s="92"/>
      <c r="O407" s="93">
        <v>0</v>
      </c>
      <c r="P407" s="86"/>
      <c r="Q407" s="82">
        <f t="shared" si="24"/>
        <v>402</v>
      </c>
    </row>
    <row r="408" spans="1:17" ht="20.25" customHeight="1">
      <c r="A408" s="85"/>
      <c r="B408" s="102"/>
      <c r="C408" s="86"/>
      <c r="D408" s="87"/>
      <c r="E408" s="88" t="str">
        <f>IFERROR(VLOOKUP(D408,ProductMaster!$A:$B,2,FALSE),"")</f>
        <v/>
      </c>
      <c r="F408" s="88" t="str">
        <f>IFERROR(VLOOKUP(D408,ProductMaster!$A:$C,3,FALSE),"")</f>
        <v/>
      </c>
      <c r="G408" s="89" t="str">
        <f>IFERROR(VLOOKUP($D408,ProductMaster!$A:$O,4,FALSE),"")</f>
        <v/>
      </c>
      <c r="H408" s="90"/>
      <c r="I408" s="123">
        <f>IFERROR(VLOOKUP(E408,ProductMaster!B:G,6,FALSE),0)</f>
        <v>0</v>
      </c>
      <c r="J408" s="123">
        <f t="shared" si="23"/>
        <v>0</v>
      </c>
      <c r="K408" s="123">
        <f t="shared" si="22"/>
        <v>0</v>
      </c>
      <c r="L408" s="91"/>
      <c r="M408" s="92"/>
      <c r="N408" s="92"/>
      <c r="O408" s="93">
        <v>0</v>
      </c>
      <c r="P408" s="86"/>
      <c r="Q408" s="82">
        <f t="shared" si="24"/>
        <v>403</v>
      </c>
    </row>
    <row r="409" spans="1:17" ht="20.25" customHeight="1">
      <c r="A409" s="85"/>
      <c r="B409" s="102"/>
      <c r="C409" s="86"/>
      <c r="D409" s="87"/>
      <c r="E409" s="88" t="str">
        <f>IFERROR(VLOOKUP(D409,ProductMaster!$A:$B,2,FALSE),"")</f>
        <v/>
      </c>
      <c r="F409" s="88" t="str">
        <f>IFERROR(VLOOKUP(D409,ProductMaster!$A:$C,3,FALSE),"")</f>
        <v/>
      </c>
      <c r="G409" s="89" t="str">
        <f>IFERROR(VLOOKUP($D409,ProductMaster!$A:$O,4,FALSE),"")</f>
        <v/>
      </c>
      <c r="H409" s="90"/>
      <c r="I409" s="123">
        <f>IFERROR(VLOOKUP(E409,ProductMaster!B:G,6,FALSE),0)</f>
        <v>0</v>
      </c>
      <c r="J409" s="123">
        <f t="shared" si="23"/>
        <v>0</v>
      </c>
      <c r="K409" s="123">
        <f t="shared" si="22"/>
        <v>0</v>
      </c>
      <c r="L409" s="91"/>
      <c r="M409" s="92"/>
      <c r="N409" s="92"/>
      <c r="O409" s="93">
        <v>0</v>
      </c>
      <c r="P409" s="86"/>
      <c r="Q409" s="82">
        <f t="shared" si="24"/>
        <v>404</v>
      </c>
    </row>
    <row r="410" spans="1:17" ht="20.25" customHeight="1">
      <c r="A410" s="85"/>
      <c r="B410" s="102"/>
      <c r="C410" s="86"/>
      <c r="D410" s="87"/>
      <c r="E410" s="88" t="str">
        <f>IFERROR(VLOOKUP(D410,ProductMaster!$A:$B,2,FALSE),"")</f>
        <v/>
      </c>
      <c r="F410" s="88" t="str">
        <f>IFERROR(VLOOKUP(D410,ProductMaster!$A:$C,3,FALSE),"")</f>
        <v/>
      </c>
      <c r="G410" s="89" t="str">
        <f>IFERROR(VLOOKUP($D410,ProductMaster!$A:$O,4,FALSE),"")</f>
        <v/>
      </c>
      <c r="H410" s="90"/>
      <c r="I410" s="123">
        <f>IFERROR(VLOOKUP(E410,ProductMaster!B:G,6,FALSE),0)</f>
        <v>0</v>
      </c>
      <c r="J410" s="123">
        <f t="shared" si="23"/>
        <v>0</v>
      </c>
      <c r="K410" s="123">
        <f t="shared" si="22"/>
        <v>0</v>
      </c>
      <c r="L410" s="91"/>
      <c r="M410" s="92"/>
      <c r="N410" s="92"/>
      <c r="O410" s="93">
        <v>0</v>
      </c>
      <c r="P410" s="86"/>
      <c r="Q410" s="82">
        <f t="shared" si="24"/>
        <v>405</v>
      </c>
    </row>
    <row r="411" spans="1:17" ht="20.25" customHeight="1">
      <c r="A411" s="85"/>
      <c r="B411" s="102"/>
      <c r="C411" s="86"/>
      <c r="D411" s="87"/>
      <c r="E411" s="88" t="str">
        <f>IFERROR(VLOOKUP(D411,ProductMaster!$A:$B,2,FALSE),"")</f>
        <v/>
      </c>
      <c r="F411" s="88" t="str">
        <f>IFERROR(VLOOKUP(D411,ProductMaster!$A:$C,3,FALSE),"")</f>
        <v/>
      </c>
      <c r="G411" s="89" t="str">
        <f>IFERROR(VLOOKUP($D411,ProductMaster!$A:$O,4,FALSE),"")</f>
        <v/>
      </c>
      <c r="H411" s="90"/>
      <c r="I411" s="123">
        <f>IFERROR(VLOOKUP(E411,ProductMaster!B:G,6,FALSE),0)</f>
        <v>0</v>
      </c>
      <c r="J411" s="123">
        <f t="shared" si="23"/>
        <v>0</v>
      </c>
      <c r="K411" s="123">
        <f t="shared" si="22"/>
        <v>0</v>
      </c>
      <c r="L411" s="91"/>
      <c r="M411" s="92"/>
      <c r="N411" s="92"/>
      <c r="O411" s="93">
        <v>0</v>
      </c>
      <c r="P411" s="86"/>
      <c r="Q411" s="82">
        <f t="shared" si="24"/>
        <v>406</v>
      </c>
    </row>
    <row r="412" spans="1:17" ht="20.25" customHeight="1">
      <c r="A412" s="85"/>
      <c r="B412" s="102"/>
      <c r="C412" s="86"/>
      <c r="D412" s="87"/>
      <c r="E412" s="88" t="str">
        <f>IFERROR(VLOOKUP(D412,ProductMaster!$A:$B,2,FALSE),"")</f>
        <v/>
      </c>
      <c r="F412" s="88" t="str">
        <f>IFERROR(VLOOKUP(D412,ProductMaster!$A:$C,3,FALSE),"")</f>
        <v/>
      </c>
      <c r="G412" s="89" t="str">
        <f>IFERROR(VLOOKUP($D412,ProductMaster!$A:$O,4,FALSE),"")</f>
        <v/>
      </c>
      <c r="H412" s="90"/>
      <c r="I412" s="123">
        <f>IFERROR(VLOOKUP(E412,ProductMaster!B:G,6,FALSE),0)</f>
        <v>0</v>
      </c>
      <c r="J412" s="123">
        <f t="shared" si="23"/>
        <v>0</v>
      </c>
      <c r="K412" s="123">
        <f t="shared" si="22"/>
        <v>0</v>
      </c>
      <c r="L412" s="91"/>
      <c r="M412" s="92"/>
      <c r="N412" s="92"/>
      <c r="O412" s="93">
        <v>0</v>
      </c>
      <c r="P412" s="86"/>
      <c r="Q412" s="82">
        <f t="shared" si="24"/>
        <v>407</v>
      </c>
    </row>
    <row r="413" spans="1:17" ht="20.25" customHeight="1">
      <c r="A413" s="85"/>
      <c r="B413" s="102"/>
      <c r="C413" s="86"/>
      <c r="D413" s="87"/>
      <c r="E413" s="88" t="str">
        <f>IFERROR(VLOOKUP(D413,ProductMaster!$A:$B,2,FALSE),"")</f>
        <v/>
      </c>
      <c r="F413" s="88" t="str">
        <f>IFERROR(VLOOKUP(D413,ProductMaster!$A:$C,3,FALSE),"")</f>
        <v/>
      </c>
      <c r="G413" s="89" t="str">
        <f>IFERROR(VLOOKUP($D413,ProductMaster!$A:$O,4,FALSE),"")</f>
        <v/>
      </c>
      <c r="H413" s="90"/>
      <c r="I413" s="123">
        <f>IFERROR(VLOOKUP(E413,ProductMaster!B:G,6,FALSE),0)</f>
        <v>0</v>
      </c>
      <c r="J413" s="123">
        <f t="shared" si="23"/>
        <v>0</v>
      </c>
      <c r="K413" s="123">
        <f t="shared" si="22"/>
        <v>0</v>
      </c>
      <c r="L413" s="91"/>
      <c r="M413" s="92"/>
      <c r="N413" s="92"/>
      <c r="O413" s="93">
        <v>0</v>
      </c>
      <c r="P413" s="86"/>
      <c r="Q413" s="82">
        <f t="shared" si="24"/>
        <v>408</v>
      </c>
    </row>
    <row r="414" spans="1:17" ht="20.25" customHeight="1">
      <c r="A414" s="85"/>
      <c r="B414" s="102"/>
      <c r="C414" s="86"/>
      <c r="D414" s="87"/>
      <c r="E414" s="88" t="str">
        <f>IFERROR(VLOOKUP(D414,ProductMaster!$A:$B,2,FALSE),"")</f>
        <v/>
      </c>
      <c r="F414" s="88" t="str">
        <f>IFERROR(VLOOKUP(D414,ProductMaster!$A:$C,3,FALSE),"")</f>
        <v/>
      </c>
      <c r="G414" s="89" t="str">
        <f>IFERROR(VLOOKUP($D414,ProductMaster!$A:$O,4,FALSE),"")</f>
        <v/>
      </c>
      <c r="H414" s="90"/>
      <c r="I414" s="123">
        <f>IFERROR(VLOOKUP(E414,ProductMaster!B:G,6,FALSE),0)</f>
        <v>0</v>
      </c>
      <c r="J414" s="123">
        <f t="shared" si="23"/>
        <v>0</v>
      </c>
      <c r="K414" s="123">
        <f t="shared" si="22"/>
        <v>0</v>
      </c>
      <c r="L414" s="91"/>
      <c r="M414" s="92"/>
      <c r="N414" s="92"/>
      <c r="O414" s="93">
        <v>0</v>
      </c>
      <c r="P414" s="86"/>
      <c r="Q414" s="82">
        <f t="shared" si="24"/>
        <v>409</v>
      </c>
    </row>
    <row r="415" spans="1:17" ht="20.25" customHeight="1">
      <c r="A415" s="85"/>
      <c r="B415" s="102"/>
      <c r="C415" s="86"/>
      <c r="D415" s="87"/>
      <c r="E415" s="88" t="str">
        <f>IFERROR(VLOOKUP(D415,ProductMaster!$A:$B,2,FALSE),"")</f>
        <v/>
      </c>
      <c r="F415" s="88" t="str">
        <f>IFERROR(VLOOKUP(D415,ProductMaster!$A:$C,3,FALSE),"")</f>
        <v/>
      </c>
      <c r="G415" s="89" t="str">
        <f>IFERROR(VLOOKUP($D415,ProductMaster!$A:$O,4,FALSE),"")</f>
        <v/>
      </c>
      <c r="H415" s="90"/>
      <c r="I415" s="123">
        <f>IFERROR(VLOOKUP(E415,ProductMaster!B:G,6,FALSE),0)</f>
        <v>0</v>
      </c>
      <c r="J415" s="123">
        <f t="shared" si="23"/>
        <v>0</v>
      </c>
      <c r="K415" s="123">
        <f t="shared" si="22"/>
        <v>0</v>
      </c>
      <c r="L415" s="91"/>
      <c r="M415" s="92"/>
      <c r="N415" s="92"/>
      <c r="O415" s="93">
        <v>0</v>
      </c>
      <c r="P415" s="86"/>
      <c r="Q415" s="82">
        <f t="shared" si="24"/>
        <v>410</v>
      </c>
    </row>
    <row r="416" spans="1:17" ht="20.25" customHeight="1">
      <c r="A416" s="85"/>
      <c r="B416" s="102"/>
      <c r="C416" s="86"/>
      <c r="D416" s="87"/>
      <c r="E416" s="88" t="str">
        <f>IFERROR(VLOOKUP(D416,ProductMaster!$A:$B,2,FALSE),"")</f>
        <v/>
      </c>
      <c r="F416" s="88" t="str">
        <f>IFERROR(VLOOKUP(D416,ProductMaster!$A:$C,3,FALSE),"")</f>
        <v/>
      </c>
      <c r="G416" s="89" t="str">
        <f>IFERROR(VLOOKUP($D416,ProductMaster!$A:$O,4,FALSE),"")</f>
        <v/>
      </c>
      <c r="H416" s="90"/>
      <c r="I416" s="123">
        <f>IFERROR(VLOOKUP(E416,ProductMaster!B:G,6,FALSE),0)</f>
        <v>0</v>
      </c>
      <c r="J416" s="123">
        <f t="shared" si="23"/>
        <v>0</v>
      </c>
      <c r="K416" s="123">
        <f t="shared" si="22"/>
        <v>0</v>
      </c>
      <c r="L416" s="91"/>
      <c r="M416" s="92"/>
      <c r="N416" s="92"/>
      <c r="O416" s="93">
        <v>0</v>
      </c>
      <c r="P416" s="86"/>
      <c r="Q416" s="82">
        <f t="shared" si="24"/>
        <v>411</v>
      </c>
    </row>
    <row r="417" spans="1:17" ht="20.25" customHeight="1">
      <c r="A417" s="85"/>
      <c r="B417" s="102"/>
      <c r="C417" s="86"/>
      <c r="D417" s="87"/>
      <c r="E417" s="88" t="str">
        <f>IFERROR(VLOOKUP(D417,ProductMaster!$A:$B,2,FALSE),"")</f>
        <v/>
      </c>
      <c r="F417" s="88" t="str">
        <f>IFERROR(VLOOKUP(D417,ProductMaster!$A:$C,3,FALSE),"")</f>
        <v/>
      </c>
      <c r="G417" s="89" t="str">
        <f>IFERROR(VLOOKUP($D417,ProductMaster!$A:$O,4,FALSE),"")</f>
        <v/>
      </c>
      <c r="H417" s="90"/>
      <c r="I417" s="123">
        <f>IFERROR(VLOOKUP(E417,ProductMaster!B:G,6,FALSE),0)</f>
        <v>0</v>
      </c>
      <c r="J417" s="123">
        <f t="shared" si="23"/>
        <v>0</v>
      </c>
      <c r="K417" s="123">
        <f t="shared" si="22"/>
        <v>0</v>
      </c>
      <c r="L417" s="91"/>
      <c r="M417" s="92"/>
      <c r="N417" s="92"/>
      <c r="O417" s="93">
        <v>0</v>
      </c>
      <c r="P417" s="86"/>
      <c r="Q417" s="82">
        <f t="shared" si="24"/>
        <v>412</v>
      </c>
    </row>
    <row r="418" spans="1:17" ht="20.25" customHeight="1">
      <c r="A418" s="85"/>
      <c r="B418" s="102"/>
      <c r="C418" s="86"/>
      <c r="D418" s="87"/>
      <c r="E418" s="88" t="str">
        <f>IFERROR(VLOOKUP(D418,ProductMaster!$A:$B,2,FALSE),"")</f>
        <v/>
      </c>
      <c r="F418" s="88" t="str">
        <f>IFERROR(VLOOKUP(D418,ProductMaster!$A:$C,3,FALSE),"")</f>
        <v/>
      </c>
      <c r="G418" s="89" t="str">
        <f>IFERROR(VLOOKUP($D418,ProductMaster!$A:$O,4,FALSE),"")</f>
        <v/>
      </c>
      <c r="H418" s="90"/>
      <c r="I418" s="123">
        <f>IFERROR(VLOOKUP(E418,ProductMaster!B:G,6,FALSE),0)</f>
        <v>0</v>
      </c>
      <c r="J418" s="123">
        <f t="shared" si="23"/>
        <v>0</v>
      </c>
      <c r="K418" s="123">
        <f t="shared" si="22"/>
        <v>0</v>
      </c>
      <c r="L418" s="91"/>
      <c r="M418" s="92"/>
      <c r="N418" s="92"/>
      <c r="O418" s="93">
        <v>0</v>
      </c>
      <c r="P418" s="86"/>
      <c r="Q418" s="82">
        <f t="shared" si="24"/>
        <v>413</v>
      </c>
    </row>
    <row r="419" spans="1:17" ht="20.25" customHeight="1">
      <c r="A419" s="85"/>
      <c r="B419" s="102"/>
      <c r="C419" s="86"/>
      <c r="D419" s="87"/>
      <c r="E419" s="88" t="str">
        <f>IFERROR(VLOOKUP(D419,ProductMaster!$A:$B,2,FALSE),"")</f>
        <v/>
      </c>
      <c r="F419" s="88" t="str">
        <f>IFERROR(VLOOKUP(D419,ProductMaster!$A:$C,3,FALSE),"")</f>
        <v/>
      </c>
      <c r="G419" s="89" t="str">
        <f>IFERROR(VLOOKUP($D419,ProductMaster!$A:$O,4,FALSE),"")</f>
        <v/>
      </c>
      <c r="H419" s="90"/>
      <c r="I419" s="123">
        <f>IFERROR(VLOOKUP(E419,ProductMaster!B:G,6,FALSE),0)</f>
        <v>0</v>
      </c>
      <c r="J419" s="123">
        <f t="shared" si="23"/>
        <v>0</v>
      </c>
      <c r="K419" s="123">
        <f t="shared" si="22"/>
        <v>0</v>
      </c>
      <c r="L419" s="91"/>
      <c r="M419" s="92"/>
      <c r="N419" s="92"/>
      <c r="O419" s="93">
        <v>0</v>
      </c>
      <c r="P419" s="86"/>
      <c r="Q419" s="82">
        <f t="shared" si="24"/>
        <v>414</v>
      </c>
    </row>
    <row r="420" spans="1:17" ht="20.25" customHeight="1">
      <c r="A420" s="85"/>
      <c r="B420" s="102"/>
      <c r="C420" s="86"/>
      <c r="D420" s="87"/>
      <c r="E420" s="88" t="str">
        <f>IFERROR(VLOOKUP(D420,ProductMaster!$A:$B,2,FALSE),"")</f>
        <v/>
      </c>
      <c r="F420" s="88" t="str">
        <f>IFERROR(VLOOKUP(D420,ProductMaster!$A:$C,3,FALSE),"")</f>
        <v/>
      </c>
      <c r="G420" s="89" t="str">
        <f>IFERROR(VLOOKUP($D420,ProductMaster!$A:$O,4,FALSE),"")</f>
        <v/>
      </c>
      <c r="H420" s="90"/>
      <c r="I420" s="123">
        <f>IFERROR(VLOOKUP(E420,ProductMaster!B:G,6,FALSE),0)</f>
        <v>0</v>
      </c>
      <c r="J420" s="123">
        <f t="shared" si="23"/>
        <v>0</v>
      </c>
      <c r="K420" s="123">
        <f t="shared" si="22"/>
        <v>0</v>
      </c>
      <c r="L420" s="91"/>
      <c r="M420" s="92"/>
      <c r="N420" s="92"/>
      <c r="O420" s="93">
        <v>0</v>
      </c>
      <c r="P420" s="86"/>
      <c r="Q420" s="82">
        <f t="shared" si="24"/>
        <v>415</v>
      </c>
    </row>
    <row r="421" spans="1:17" ht="20.25" customHeight="1">
      <c r="A421" s="85"/>
      <c r="B421" s="102"/>
      <c r="C421" s="86"/>
      <c r="D421" s="87"/>
      <c r="E421" s="88" t="str">
        <f>IFERROR(VLOOKUP(D421,ProductMaster!$A:$B,2,FALSE),"")</f>
        <v/>
      </c>
      <c r="F421" s="88" t="str">
        <f>IFERROR(VLOOKUP(D421,ProductMaster!$A:$C,3,FALSE),"")</f>
        <v/>
      </c>
      <c r="G421" s="89" t="str">
        <f>IFERROR(VLOOKUP($D421,ProductMaster!$A:$O,4,FALSE),"")</f>
        <v/>
      </c>
      <c r="H421" s="90"/>
      <c r="I421" s="123">
        <f>IFERROR(VLOOKUP(E421,ProductMaster!B:G,6,FALSE),0)</f>
        <v>0</v>
      </c>
      <c r="J421" s="123">
        <f t="shared" si="23"/>
        <v>0</v>
      </c>
      <c r="K421" s="123">
        <f t="shared" si="22"/>
        <v>0</v>
      </c>
      <c r="L421" s="91"/>
      <c r="M421" s="92"/>
      <c r="N421" s="92"/>
      <c r="O421" s="93">
        <v>0</v>
      </c>
      <c r="P421" s="86"/>
      <c r="Q421" s="82">
        <f t="shared" si="24"/>
        <v>416</v>
      </c>
    </row>
    <row r="422" spans="1:17" ht="20.25" customHeight="1">
      <c r="A422" s="85"/>
      <c r="B422" s="102"/>
      <c r="C422" s="86"/>
      <c r="D422" s="87"/>
      <c r="E422" s="88" t="str">
        <f>IFERROR(VLOOKUP(D422,ProductMaster!$A:$B,2,FALSE),"")</f>
        <v/>
      </c>
      <c r="F422" s="88" t="str">
        <f>IFERROR(VLOOKUP(D422,ProductMaster!$A:$C,3,FALSE),"")</f>
        <v/>
      </c>
      <c r="G422" s="89" t="str">
        <f>IFERROR(VLOOKUP($D422,ProductMaster!$A:$O,4,FALSE),"")</f>
        <v/>
      </c>
      <c r="H422" s="90"/>
      <c r="I422" s="123">
        <f>IFERROR(VLOOKUP(E422,ProductMaster!B:G,6,FALSE),0)</f>
        <v>0</v>
      </c>
      <c r="J422" s="123">
        <f t="shared" si="23"/>
        <v>0</v>
      </c>
      <c r="K422" s="123">
        <f t="shared" si="22"/>
        <v>0</v>
      </c>
      <c r="L422" s="91"/>
      <c r="M422" s="92"/>
      <c r="N422" s="92"/>
      <c r="O422" s="93">
        <v>0</v>
      </c>
      <c r="P422" s="86"/>
      <c r="Q422" s="82">
        <f t="shared" si="24"/>
        <v>417</v>
      </c>
    </row>
    <row r="423" spans="1:17" ht="20.25" customHeight="1">
      <c r="A423" s="85"/>
      <c r="B423" s="102"/>
      <c r="C423" s="86"/>
      <c r="D423" s="87"/>
      <c r="E423" s="88" t="str">
        <f>IFERROR(VLOOKUP(D423,ProductMaster!$A:$B,2,FALSE),"")</f>
        <v/>
      </c>
      <c r="F423" s="88" t="str">
        <f>IFERROR(VLOOKUP(D423,ProductMaster!$A:$C,3,FALSE),"")</f>
        <v/>
      </c>
      <c r="G423" s="89" t="str">
        <f>IFERROR(VLOOKUP($D423,ProductMaster!$A:$O,4,FALSE),"")</f>
        <v/>
      </c>
      <c r="H423" s="90"/>
      <c r="I423" s="123">
        <f>IFERROR(VLOOKUP(E423,ProductMaster!B:G,6,FALSE),0)</f>
        <v>0</v>
      </c>
      <c r="J423" s="123">
        <f t="shared" si="23"/>
        <v>0</v>
      </c>
      <c r="K423" s="123">
        <f t="shared" si="22"/>
        <v>0</v>
      </c>
      <c r="L423" s="91"/>
      <c r="M423" s="92"/>
      <c r="N423" s="92"/>
      <c r="O423" s="93">
        <v>0</v>
      </c>
      <c r="P423" s="86"/>
      <c r="Q423" s="82">
        <f t="shared" si="24"/>
        <v>418</v>
      </c>
    </row>
    <row r="424" spans="1:17" ht="20.25" customHeight="1">
      <c r="A424" s="85"/>
      <c r="B424" s="102"/>
      <c r="C424" s="86"/>
      <c r="D424" s="87"/>
      <c r="E424" s="88" t="str">
        <f>IFERROR(VLOOKUP(D424,ProductMaster!$A:$B,2,FALSE),"")</f>
        <v/>
      </c>
      <c r="F424" s="88" t="str">
        <f>IFERROR(VLOOKUP(D424,ProductMaster!$A:$C,3,FALSE),"")</f>
        <v/>
      </c>
      <c r="G424" s="89" t="str">
        <f>IFERROR(VLOOKUP($D424,ProductMaster!$A:$O,4,FALSE),"")</f>
        <v/>
      </c>
      <c r="H424" s="90"/>
      <c r="I424" s="123">
        <f>IFERROR(VLOOKUP(E424,ProductMaster!B:G,6,FALSE),0)</f>
        <v>0</v>
      </c>
      <c r="J424" s="123">
        <f t="shared" si="23"/>
        <v>0</v>
      </c>
      <c r="K424" s="123">
        <f t="shared" si="22"/>
        <v>0</v>
      </c>
      <c r="L424" s="91"/>
      <c r="M424" s="92"/>
      <c r="N424" s="92"/>
      <c r="O424" s="93">
        <v>0</v>
      </c>
      <c r="P424" s="86"/>
      <c r="Q424" s="82">
        <f t="shared" si="24"/>
        <v>419</v>
      </c>
    </row>
    <row r="425" spans="1:17" ht="20.25" customHeight="1">
      <c r="A425" s="85"/>
      <c r="B425" s="102"/>
      <c r="C425" s="86"/>
      <c r="D425" s="87"/>
      <c r="E425" s="88" t="str">
        <f>IFERROR(VLOOKUP(D425,ProductMaster!$A:$B,2,FALSE),"")</f>
        <v/>
      </c>
      <c r="F425" s="88" t="str">
        <f>IFERROR(VLOOKUP(D425,ProductMaster!$A:$C,3,FALSE),"")</f>
        <v/>
      </c>
      <c r="G425" s="89" t="str">
        <f>IFERROR(VLOOKUP($D425,ProductMaster!$A:$O,4,FALSE),"")</f>
        <v/>
      </c>
      <c r="H425" s="90"/>
      <c r="I425" s="123">
        <f>IFERROR(VLOOKUP(E425,ProductMaster!B:G,6,FALSE),0)</f>
        <v>0</v>
      </c>
      <c r="J425" s="123">
        <f t="shared" si="23"/>
        <v>0</v>
      </c>
      <c r="K425" s="123">
        <f t="shared" si="22"/>
        <v>0</v>
      </c>
      <c r="L425" s="91"/>
      <c r="M425" s="92"/>
      <c r="N425" s="92"/>
      <c r="O425" s="93">
        <v>0</v>
      </c>
      <c r="P425" s="86"/>
      <c r="Q425" s="82">
        <f t="shared" si="24"/>
        <v>420</v>
      </c>
    </row>
    <row r="426" spans="1:17" ht="20.25" customHeight="1">
      <c r="A426" s="85"/>
      <c r="B426" s="102"/>
      <c r="C426" s="86"/>
      <c r="D426" s="87"/>
      <c r="E426" s="88" t="str">
        <f>IFERROR(VLOOKUP(D426,ProductMaster!$A:$B,2,FALSE),"")</f>
        <v/>
      </c>
      <c r="F426" s="88" t="str">
        <f>IFERROR(VLOOKUP(D426,ProductMaster!$A:$C,3,FALSE),"")</f>
        <v/>
      </c>
      <c r="G426" s="89" t="str">
        <f>IFERROR(VLOOKUP($D426,ProductMaster!$A:$O,4,FALSE),"")</f>
        <v/>
      </c>
      <c r="H426" s="90"/>
      <c r="I426" s="123">
        <f>IFERROR(VLOOKUP(E426,ProductMaster!B:G,6,FALSE),0)</f>
        <v>0</v>
      </c>
      <c r="J426" s="123">
        <f t="shared" si="23"/>
        <v>0</v>
      </c>
      <c r="K426" s="123">
        <f t="shared" si="22"/>
        <v>0</v>
      </c>
      <c r="L426" s="91"/>
      <c r="M426" s="92"/>
      <c r="N426" s="92"/>
      <c r="O426" s="93">
        <v>0</v>
      </c>
      <c r="P426" s="86"/>
      <c r="Q426" s="82">
        <f t="shared" si="24"/>
        <v>421</v>
      </c>
    </row>
    <row r="427" spans="1:17" ht="20.25" customHeight="1">
      <c r="A427" s="85"/>
      <c r="B427" s="102"/>
      <c r="C427" s="86"/>
      <c r="D427" s="87"/>
      <c r="E427" s="88" t="str">
        <f>IFERROR(VLOOKUP(D427,ProductMaster!$A:$B,2,FALSE),"")</f>
        <v/>
      </c>
      <c r="F427" s="88" t="str">
        <f>IFERROR(VLOOKUP(D427,ProductMaster!$A:$C,3,FALSE),"")</f>
        <v/>
      </c>
      <c r="G427" s="89" t="str">
        <f>IFERROR(VLOOKUP($D427,ProductMaster!$A:$O,4,FALSE),"")</f>
        <v/>
      </c>
      <c r="H427" s="90"/>
      <c r="I427" s="123">
        <f>IFERROR(VLOOKUP(E427,ProductMaster!B:G,6,FALSE),0)</f>
        <v>0</v>
      </c>
      <c r="J427" s="123">
        <f t="shared" si="23"/>
        <v>0</v>
      </c>
      <c r="K427" s="123">
        <f t="shared" si="22"/>
        <v>0</v>
      </c>
      <c r="L427" s="91"/>
      <c r="M427" s="92"/>
      <c r="N427" s="92"/>
      <c r="O427" s="93">
        <v>0</v>
      </c>
      <c r="P427" s="86"/>
      <c r="Q427" s="82">
        <f t="shared" si="24"/>
        <v>422</v>
      </c>
    </row>
    <row r="428" spans="1:17" ht="20.25" customHeight="1">
      <c r="A428" s="85"/>
      <c r="B428" s="102"/>
      <c r="C428" s="86"/>
      <c r="D428" s="87"/>
      <c r="E428" s="88" t="str">
        <f>IFERROR(VLOOKUP(D428,ProductMaster!$A:$B,2,FALSE),"")</f>
        <v/>
      </c>
      <c r="F428" s="88" t="str">
        <f>IFERROR(VLOOKUP(D428,ProductMaster!$A:$C,3,FALSE),"")</f>
        <v/>
      </c>
      <c r="G428" s="89" t="str">
        <f>IFERROR(VLOOKUP($D428,ProductMaster!$A:$O,4,FALSE),"")</f>
        <v/>
      </c>
      <c r="H428" s="90"/>
      <c r="I428" s="123">
        <f>IFERROR(VLOOKUP(E428,ProductMaster!B:G,6,FALSE),0)</f>
        <v>0</v>
      </c>
      <c r="J428" s="123">
        <f t="shared" si="23"/>
        <v>0</v>
      </c>
      <c r="K428" s="123">
        <f t="shared" si="22"/>
        <v>0</v>
      </c>
      <c r="L428" s="91"/>
      <c r="M428" s="92"/>
      <c r="N428" s="92"/>
      <c r="O428" s="93">
        <v>0</v>
      </c>
      <c r="P428" s="86"/>
      <c r="Q428" s="82">
        <f t="shared" si="24"/>
        <v>423</v>
      </c>
    </row>
    <row r="429" spans="1:17" ht="20.25" customHeight="1">
      <c r="A429" s="85"/>
      <c r="B429" s="102"/>
      <c r="C429" s="86"/>
      <c r="D429" s="87"/>
      <c r="E429" s="88" t="str">
        <f>IFERROR(VLOOKUP(D429,ProductMaster!$A:$B,2,FALSE),"")</f>
        <v/>
      </c>
      <c r="F429" s="88" t="str">
        <f>IFERROR(VLOOKUP(D429,ProductMaster!$A:$C,3,FALSE),"")</f>
        <v/>
      </c>
      <c r="G429" s="89" t="str">
        <f>IFERROR(VLOOKUP($D429,ProductMaster!$A:$O,4,FALSE),"")</f>
        <v/>
      </c>
      <c r="H429" s="90"/>
      <c r="I429" s="123">
        <f>IFERROR(VLOOKUP(E429,ProductMaster!B:G,6,FALSE),0)</f>
        <v>0</v>
      </c>
      <c r="J429" s="123">
        <f t="shared" si="23"/>
        <v>0</v>
      </c>
      <c r="K429" s="123">
        <f t="shared" si="22"/>
        <v>0</v>
      </c>
      <c r="L429" s="91"/>
      <c r="M429" s="92"/>
      <c r="N429" s="92"/>
      <c r="O429" s="93">
        <v>0</v>
      </c>
      <c r="P429" s="86"/>
      <c r="Q429" s="82">
        <f t="shared" si="24"/>
        <v>424</v>
      </c>
    </row>
    <row r="430" spans="1:17" ht="20.25" customHeight="1">
      <c r="A430" s="85"/>
      <c r="B430" s="102"/>
      <c r="C430" s="86"/>
      <c r="D430" s="87"/>
      <c r="E430" s="88" t="str">
        <f>IFERROR(VLOOKUP(D430,ProductMaster!$A:$B,2,FALSE),"")</f>
        <v/>
      </c>
      <c r="F430" s="88" t="str">
        <f>IFERROR(VLOOKUP(D430,ProductMaster!$A:$C,3,FALSE),"")</f>
        <v/>
      </c>
      <c r="G430" s="89" t="str">
        <f>IFERROR(VLOOKUP($D430,ProductMaster!$A:$O,4,FALSE),"")</f>
        <v/>
      </c>
      <c r="H430" s="90"/>
      <c r="I430" s="123">
        <f>IFERROR(VLOOKUP(E430,ProductMaster!B:G,6,FALSE),0)</f>
        <v>0</v>
      </c>
      <c r="J430" s="123">
        <f t="shared" si="23"/>
        <v>0</v>
      </c>
      <c r="K430" s="123">
        <f t="shared" si="22"/>
        <v>0</v>
      </c>
      <c r="L430" s="91"/>
      <c r="M430" s="92"/>
      <c r="N430" s="92"/>
      <c r="O430" s="93">
        <v>0</v>
      </c>
      <c r="P430" s="86"/>
      <c r="Q430" s="82">
        <f t="shared" si="24"/>
        <v>425</v>
      </c>
    </row>
    <row r="431" spans="1:17" ht="20.25" customHeight="1">
      <c r="A431" s="85"/>
      <c r="B431" s="102"/>
      <c r="C431" s="86"/>
      <c r="D431" s="87"/>
      <c r="E431" s="88" t="str">
        <f>IFERROR(VLOOKUP(D431,ProductMaster!$A:$B,2,FALSE),"")</f>
        <v/>
      </c>
      <c r="F431" s="88" t="str">
        <f>IFERROR(VLOOKUP(D431,ProductMaster!$A:$C,3,FALSE),"")</f>
        <v/>
      </c>
      <c r="G431" s="89" t="str">
        <f>IFERROR(VLOOKUP($D431,ProductMaster!$A:$O,4,FALSE),"")</f>
        <v/>
      </c>
      <c r="H431" s="90"/>
      <c r="I431" s="123">
        <f>IFERROR(VLOOKUP(E431,ProductMaster!B:G,6,FALSE),0)</f>
        <v>0</v>
      </c>
      <c r="J431" s="123">
        <f t="shared" si="23"/>
        <v>0</v>
      </c>
      <c r="K431" s="123">
        <f t="shared" si="22"/>
        <v>0</v>
      </c>
      <c r="L431" s="91"/>
      <c r="M431" s="92"/>
      <c r="N431" s="92"/>
      <c r="O431" s="93">
        <v>0</v>
      </c>
      <c r="P431" s="86"/>
      <c r="Q431" s="82">
        <f t="shared" si="24"/>
        <v>426</v>
      </c>
    </row>
    <row r="432" spans="1:17" ht="20.25" customHeight="1">
      <c r="A432" s="85"/>
      <c r="B432" s="102"/>
      <c r="C432" s="86"/>
      <c r="D432" s="87"/>
      <c r="E432" s="88" t="str">
        <f>IFERROR(VLOOKUP(D432,ProductMaster!$A:$B,2,FALSE),"")</f>
        <v/>
      </c>
      <c r="F432" s="88" t="str">
        <f>IFERROR(VLOOKUP(D432,ProductMaster!$A:$C,3,FALSE),"")</f>
        <v/>
      </c>
      <c r="G432" s="89" t="str">
        <f>IFERROR(VLOOKUP($D432,ProductMaster!$A:$O,4,FALSE),"")</f>
        <v/>
      </c>
      <c r="H432" s="90"/>
      <c r="I432" s="123">
        <f>IFERROR(VLOOKUP(E432,ProductMaster!B:G,6,FALSE),0)</f>
        <v>0</v>
      </c>
      <c r="J432" s="123">
        <f t="shared" si="23"/>
        <v>0</v>
      </c>
      <c r="K432" s="123">
        <f t="shared" si="22"/>
        <v>0</v>
      </c>
      <c r="L432" s="91"/>
      <c r="M432" s="92"/>
      <c r="N432" s="92"/>
      <c r="O432" s="93">
        <v>0</v>
      </c>
      <c r="P432" s="86"/>
      <c r="Q432" s="82">
        <f t="shared" si="24"/>
        <v>427</v>
      </c>
    </row>
    <row r="433" spans="1:17" ht="20.25" customHeight="1">
      <c r="A433" s="85"/>
      <c r="B433" s="102"/>
      <c r="C433" s="86"/>
      <c r="D433" s="87"/>
      <c r="E433" s="88" t="str">
        <f>IFERROR(VLOOKUP(D433,ProductMaster!$A:$B,2,FALSE),"")</f>
        <v/>
      </c>
      <c r="F433" s="88" t="str">
        <f>IFERROR(VLOOKUP(D433,ProductMaster!$A:$C,3,FALSE),"")</f>
        <v/>
      </c>
      <c r="G433" s="89" t="str">
        <f>IFERROR(VLOOKUP($D433,ProductMaster!$A:$O,4,FALSE),"")</f>
        <v/>
      </c>
      <c r="H433" s="90"/>
      <c r="I433" s="123">
        <f>IFERROR(VLOOKUP(E433,ProductMaster!B:G,6,FALSE),0)</f>
        <v>0</v>
      </c>
      <c r="J433" s="123">
        <f t="shared" si="23"/>
        <v>0</v>
      </c>
      <c r="K433" s="123">
        <f t="shared" si="22"/>
        <v>0</v>
      </c>
      <c r="L433" s="91"/>
      <c r="M433" s="92"/>
      <c r="N433" s="92"/>
      <c r="O433" s="93">
        <v>0</v>
      </c>
      <c r="P433" s="86"/>
      <c r="Q433" s="82">
        <f t="shared" si="24"/>
        <v>428</v>
      </c>
    </row>
    <row r="434" spans="1:17" ht="20.25" customHeight="1">
      <c r="A434" s="85"/>
      <c r="B434" s="102"/>
      <c r="C434" s="86"/>
      <c r="D434" s="87"/>
      <c r="E434" s="88" t="str">
        <f>IFERROR(VLOOKUP(D434,ProductMaster!$A:$B,2,FALSE),"")</f>
        <v/>
      </c>
      <c r="F434" s="88" t="str">
        <f>IFERROR(VLOOKUP(D434,ProductMaster!$A:$C,3,FALSE),"")</f>
        <v/>
      </c>
      <c r="G434" s="89" t="str">
        <f>IFERROR(VLOOKUP($D434,ProductMaster!$A:$O,4,FALSE),"")</f>
        <v/>
      </c>
      <c r="H434" s="90"/>
      <c r="I434" s="123">
        <f>IFERROR(VLOOKUP(E434,ProductMaster!B:G,6,FALSE),0)</f>
        <v>0</v>
      </c>
      <c r="J434" s="123">
        <f t="shared" si="23"/>
        <v>0</v>
      </c>
      <c r="K434" s="123">
        <f t="shared" si="22"/>
        <v>0</v>
      </c>
      <c r="L434" s="91"/>
      <c r="M434" s="92"/>
      <c r="N434" s="92"/>
      <c r="O434" s="93">
        <v>0</v>
      </c>
      <c r="P434" s="86"/>
      <c r="Q434" s="82">
        <f t="shared" si="24"/>
        <v>429</v>
      </c>
    </row>
    <row r="435" spans="1:17" ht="20.25" customHeight="1">
      <c r="A435" s="85"/>
      <c r="B435" s="102"/>
      <c r="C435" s="86"/>
      <c r="D435" s="87"/>
      <c r="E435" s="88" t="str">
        <f>IFERROR(VLOOKUP(D435,ProductMaster!$A:$B,2,FALSE),"")</f>
        <v/>
      </c>
      <c r="F435" s="88" t="str">
        <f>IFERROR(VLOOKUP(D435,ProductMaster!$A:$C,3,FALSE),"")</f>
        <v/>
      </c>
      <c r="G435" s="89" t="str">
        <f>IFERROR(VLOOKUP($D435,ProductMaster!$A:$O,4,FALSE),"")</f>
        <v/>
      </c>
      <c r="H435" s="90"/>
      <c r="I435" s="123">
        <f>IFERROR(VLOOKUP(E435,ProductMaster!B:G,6,FALSE),0)</f>
        <v>0</v>
      </c>
      <c r="J435" s="123">
        <f t="shared" si="23"/>
        <v>0</v>
      </c>
      <c r="K435" s="123">
        <f t="shared" si="22"/>
        <v>0</v>
      </c>
      <c r="L435" s="91"/>
      <c r="M435" s="92"/>
      <c r="N435" s="92"/>
      <c r="O435" s="93">
        <v>0</v>
      </c>
      <c r="P435" s="86"/>
      <c r="Q435" s="82">
        <f t="shared" si="24"/>
        <v>430</v>
      </c>
    </row>
    <row r="436" spans="1:17" ht="20.25" customHeight="1">
      <c r="A436" s="85"/>
      <c r="B436" s="102"/>
      <c r="C436" s="86"/>
      <c r="D436" s="87"/>
      <c r="E436" s="88" t="str">
        <f>IFERROR(VLOOKUP(D436,ProductMaster!$A:$B,2,FALSE),"")</f>
        <v/>
      </c>
      <c r="F436" s="88" t="str">
        <f>IFERROR(VLOOKUP(D436,ProductMaster!$A:$C,3,FALSE),"")</f>
        <v/>
      </c>
      <c r="G436" s="89" t="str">
        <f>IFERROR(VLOOKUP($D436,ProductMaster!$A:$O,4,FALSE),"")</f>
        <v/>
      </c>
      <c r="H436" s="90"/>
      <c r="I436" s="123">
        <f>IFERROR(VLOOKUP(E436,ProductMaster!B:G,6,FALSE),0)</f>
        <v>0</v>
      </c>
      <c r="J436" s="123">
        <f t="shared" si="23"/>
        <v>0</v>
      </c>
      <c r="K436" s="123">
        <f t="shared" si="22"/>
        <v>0</v>
      </c>
      <c r="L436" s="91"/>
      <c r="M436" s="92"/>
      <c r="N436" s="92"/>
      <c r="O436" s="93">
        <v>0</v>
      </c>
      <c r="P436" s="86"/>
      <c r="Q436" s="82">
        <f t="shared" si="24"/>
        <v>431</v>
      </c>
    </row>
    <row r="437" spans="1:17" ht="20.25" customHeight="1">
      <c r="A437" s="85"/>
      <c r="B437" s="102"/>
      <c r="C437" s="86"/>
      <c r="D437" s="87"/>
      <c r="E437" s="88" t="str">
        <f>IFERROR(VLOOKUP(D437,ProductMaster!$A:$B,2,FALSE),"")</f>
        <v/>
      </c>
      <c r="F437" s="88" t="str">
        <f>IFERROR(VLOOKUP(D437,ProductMaster!$A:$C,3,FALSE),"")</f>
        <v/>
      </c>
      <c r="G437" s="89" t="str">
        <f>IFERROR(VLOOKUP($D437,ProductMaster!$A:$O,4,FALSE),"")</f>
        <v/>
      </c>
      <c r="H437" s="90"/>
      <c r="I437" s="123">
        <f>IFERROR(VLOOKUP(E437,ProductMaster!B:G,6,FALSE),0)</f>
        <v>0</v>
      </c>
      <c r="J437" s="123">
        <f t="shared" si="23"/>
        <v>0</v>
      </c>
      <c r="K437" s="123">
        <f t="shared" si="22"/>
        <v>0</v>
      </c>
      <c r="L437" s="91"/>
      <c r="M437" s="92"/>
      <c r="N437" s="92"/>
      <c r="O437" s="93">
        <v>0</v>
      </c>
      <c r="P437" s="86"/>
      <c r="Q437" s="82">
        <f t="shared" si="24"/>
        <v>432</v>
      </c>
    </row>
    <row r="438" spans="1:17" ht="20.25" customHeight="1">
      <c r="A438" s="85"/>
      <c r="B438" s="102"/>
      <c r="C438" s="86"/>
      <c r="D438" s="87"/>
      <c r="E438" s="88" t="str">
        <f>IFERROR(VLOOKUP(D438,ProductMaster!$A:$B,2,FALSE),"")</f>
        <v/>
      </c>
      <c r="F438" s="88" t="str">
        <f>IFERROR(VLOOKUP(D438,ProductMaster!$A:$C,3,FALSE),"")</f>
        <v/>
      </c>
      <c r="G438" s="89" t="str">
        <f>IFERROR(VLOOKUP($D438,ProductMaster!$A:$O,4,FALSE),"")</f>
        <v/>
      </c>
      <c r="H438" s="90"/>
      <c r="I438" s="123">
        <f>IFERROR(VLOOKUP(E438,ProductMaster!B:G,6,FALSE),0)</f>
        <v>0</v>
      </c>
      <c r="J438" s="123">
        <f t="shared" si="23"/>
        <v>0</v>
      </c>
      <c r="K438" s="123">
        <f t="shared" si="22"/>
        <v>0</v>
      </c>
      <c r="L438" s="91"/>
      <c r="M438" s="92"/>
      <c r="N438" s="92"/>
      <c r="O438" s="93">
        <v>0</v>
      </c>
      <c r="P438" s="86"/>
      <c r="Q438" s="82">
        <f t="shared" si="24"/>
        <v>433</v>
      </c>
    </row>
    <row r="439" spans="1:17" ht="20.25" customHeight="1">
      <c r="A439" s="85"/>
      <c r="B439" s="102"/>
      <c r="C439" s="86"/>
      <c r="D439" s="87"/>
      <c r="E439" s="88" t="str">
        <f>IFERROR(VLOOKUP(D439,ProductMaster!$A:$B,2,FALSE),"")</f>
        <v/>
      </c>
      <c r="F439" s="88" t="str">
        <f>IFERROR(VLOOKUP(D439,ProductMaster!$A:$C,3,FALSE),"")</f>
        <v/>
      </c>
      <c r="G439" s="89" t="str">
        <f>IFERROR(VLOOKUP($D439,ProductMaster!$A:$O,4,FALSE),"")</f>
        <v/>
      </c>
      <c r="H439" s="90"/>
      <c r="I439" s="123">
        <f>IFERROR(VLOOKUP(E439,ProductMaster!B:G,6,FALSE),0)</f>
        <v>0</v>
      </c>
      <c r="J439" s="123">
        <f t="shared" si="23"/>
        <v>0</v>
      </c>
      <c r="K439" s="123">
        <f t="shared" si="22"/>
        <v>0</v>
      </c>
      <c r="L439" s="91"/>
      <c r="M439" s="92"/>
      <c r="N439" s="92"/>
      <c r="O439" s="93">
        <v>0</v>
      </c>
      <c r="P439" s="86"/>
      <c r="Q439" s="82">
        <f t="shared" si="24"/>
        <v>434</v>
      </c>
    </row>
    <row r="440" spans="1:17" ht="20.25" customHeight="1">
      <c r="A440" s="85"/>
      <c r="B440" s="102"/>
      <c r="C440" s="86"/>
      <c r="D440" s="87"/>
      <c r="E440" s="88" t="str">
        <f>IFERROR(VLOOKUP(D440,ProductMaster!$A:$B,2,FALSE),"")</f>
        <v/>
      </c>
      <c r="F440" s="88" t="str">
        <f>IFERROR(VLOOKUP(D440,ProductMaster!$A:$C,3,FALSE),"")</f>
        <v/>
      </c>
      <c r="G440" s="89" t="str">
        <f>IFERROR(VLOOKUP($D440,ProductMaster!$A:$O,4,FALSE),"")</f>
        <v/>
      </c>
      <c r="H440" s="90"/>
      <c r="I440" s="123">
        <f>IFERROR(VLOOKUP(E440,ProductMaster!B:G,6,FALSE),0)</f>
        <v>0</v>
      </c>
      <c r="J440" s="123">
        <f t="shared" si="23"/>
        <v>0</v>
      </c>
      <c r="K440" s="123">
        <f t="shared" si="22"/>
        <v>0</v>
      </c>
      <c r="L440" s="91"/>
      <c r="M440" s="92"/>
      <c r="N440" s="92"/>
      <c r="O440" s="93">
        <v>0</v>
      </c>
      <c r="P440" s="86"/>
      <c r="Q440" s="82">
        <f t="shared" si="24"/>
        <v>435</v>
      </c>
    </row>
    <row r="441" spans="1:17" ht="20.25" customHeight="1">
      <c r="A441" s="85"/>
      <c r="B441" s="102"/>
      <c r="C441" s="86"/>
      <c r="D441" s="87"/>
      <c r="E441" s="88" t="str">
        <f>IFERROR(VLOOKUP(D441,ProductMaster!$A:$B,2,FALSE),"")</f>
        <v/>
      </c>
      <c r="F441" s="88" t="str">
        <f>IFERROR(VLOOKUP(D441,ProductMaster!$A:$C,3,FALSE),"")</f>
        <v/>
      </c>
      <c r="G441" s="89" t="str">
        <f>IFERROR(VLOOKUP($D441,ProductMaster!$A:$O,4,FALSE),"")</f>
        <v/>
      </c>
      <c r="H441" s="90"/>
      <c r="I441" s="123">
        <f>IFERROR(VLOOKUP(E441,ProductMaster!B:G,6,FALSE),0)</f>
        <v>0</v>
      </c>
      <c r="J441" s="123">
        <f t="shared" si="23"/>
        <v>0</v>
      </c>
      <c r="K441" s="123">
        <f t="shared" si="22"/>
        <v>0</v>
      </c>
      <c r="L441" s="91"/>
      <c r="M441" s="92"/>
      <c r="N441" s="92"/>
      <c r="O441" s="93">
        <v>0</v>
      </c>
      <c r="P441" s="86"/>
      <c r="Q441" s="82">
        <f t="shared" si="24"/>
        <v>436</v>
      </c>
    </row>
    <row r="442" spans="1:17" ht="20.25" customHeight="1">
      <c r="A442" s="85"/>
      <c r="B442" s="102"/>
      <c r="C442" s="86"/>
      <c r="D442" s="87"/>
      <c r="E442" s="88" t="str">
        <f>IFERROR(VLOOKUP(D442,ProductMaster!$A:$B,2,FALSE),"")</f>
        <v/>
      </c>
      <c r="F442" s="88" t="str">
        <f>IFERROR(VLOOKUP(D442,ProductMaster!$A:$C,3,FALSE),"")</f>
        <v/>
      </c>
      <c r="G442" s="89" t="str">
        <f>IFERROR(VLOOKUP($D442,ProductMaster!$A:$O,4,FALSE),"")</f>
        <v/>
      </c>
      <c r="H442" s="90"/>
      <c r="I442" s="123">
        <f>IFERROR(VLOOKUP(E442,ProductMaster!B:G,6,FALSE),0)</f>
        <v>0</v>
      </c>
      <c r="J442" s="123">
        <f t="shared" si="23"/>
        <v>0</v>
      </c>
      <c r="K442" s="123">
        <f t="shared" si="22"/>
        <v>0</v>
      </c>
      <c r="L442" s="91"/>
      <c r="M442" s="92"/>
      <c r="N442" s="92"/>
      <c r="O442" s="93">
        <v>0</v>
      </c>
      <c r="P442" s="86"/>
      <c r="Q442" s="82">
        <f t="shared" si="24"/>
        <v>437</v>
      </c>
    </row>
    <row r="443" spans="1:17" ht="20.25" customHeight="1">
      <c r="A443" s="85"/>
      <c r="B443" s="102"/>
      <c r="C443" s="86"/>
      <c r="D443" s="87"/>
      <c r="E443" s="88" t="str">
        <f>IFERROR(VLOOKUP(D443,ProductMaster!$A:$B,2,FALSE),"")</f>
        <v/>
      </c>
      <c r="F443" s="88" t="str">
        <f>IFERROR(VLOOKUP(D443,ProductMaster!$A:$C,3,FALSE),"")</f>
        <v/>
      </c>
      <c r="G443" s="89" t="str">
        <f>IFERROR(VLOOKUP($D443,ProductMaster!$A:$O,4,FALSE),"")</f>
        <v/>
      </c>
      <c r="H443" s="90"/>
      <c r="I443" s="123">
        <f>IFERROR(VLOOKUP(E443,ProductMaster!B:G,6,FALSE),0)</f>
        <v>0</v>
      </c>
      <c r="J443" s="123">
        <f t="shared" si="23"/>
        <v>0</v>
      </c>
      <c r="K443" s="123">
        <f t="shared" si="22"/>
        <v>0</v>
      </c>
      <c r="L443" s="91"/>
      <c r="M443" s="92"/>
      <c r="N443" s="92"/>
      <c r="O443" s="93">
        <v>0</v>
      </c>
      <c r="P443" s="86"/>
      <c r="Q443" s="82">
        <f t="shared" si="24"/>
        <v>438</v>
      </c>
    </row>
    <row r="444" spans="1:17" ht="20.25" customHeight="1">
      <c r="A444" s="85"/>
      <c r="B444" s="102"/>
      <c r="C444" s="86"/>
      <c r="D444" s="87"/>
      <c r="E444" s="88" t="str">
        <f>IFERROR(VLOOKUP(D444,ProductMaster!$A:$B,2,FALSE),"")</f>
        <v/>
      </c>
      <c r="F444" s="88" t="str">
        <f>IFERROR(VLOOKUP(D444,ProductMaster!$A:$C,3,FALSE),"")</f>
        <v/>
      </c>
      <c r="G444" s="89" t="str">
        <f>IFERROR(VLOOKUP($D444,ProductMaster!$A:$O,4,FALSE),"")</f>
        <v/>
      </c>
      <c r="H444" s="90"/>
      <c r="I444" s="123">
        <f>IFERROR(VLOOKUP(E444,ProductMaster!B:G,6,FALSE),0)</f>
        <v>0</v>
      </c>
      <c r="J444" s="123">
        <f t="shared" si="23"/>
        <v>0</v>
      </c>
      <c r="K444" s="123">
        <f t="shared" si="22"/>
        <v>0</v>
      </c>
      <c r="L444" s="91"/>
      <c r="M444" s="92"/>
      <c r="N444" s="92"/>
      <c r="O444" s="93">
        <v>0</v>
      </c>
      <c r="P444" s="86"/>
      <c r="Q444" s="82">
        <f t="shared" si="24"/>
        <v>439</v>
      </c>
    </row>
    <row r="445" spans="1:17" ht="20.25" customHeight="1">
      <c r="A445" s="85"/>
      <c r="B445" s="102"/>
      <c r="C445" s="86"/>
      <c r="D445" s="87"/>
      <c r="E445" s="88" t="str">
        <f>IFERROR(VLOOKUP(D445,ProductMaster!$A:$B,2,FALSE),"")</f>
        <v/>
      </c>
      <c r="F445" s="88" t="str">
        <f>IFERROR(VLOOKUP(D445,ProductMaster!$A:$C,3,FALSE),"")</f>
        <v/>
      </c>
      <c r="G445" s="89" t="str">
        <f>IFERROR(VLOOKUP($D445,ProductMaster!$A:$O,4,FALSE),"")</f>
        <v/>
      </c>
      <c r="H445" s="90"/>
      <c r="I445" s="123">
        <f>IFERROR(VLOOKUP(E445,ProductMaster!B:G,6,FALSE),0)</f>
        <v>0</v>
      </c>
      <c r="J445" s="123">
        <f t="shared" si="23"/>
        <v>0</v>
      </c>
      <c r="K445" s="123">
        <f t="shared" si="22"/>
        <v>0</v>
      </c>
      <c r="L445" s="91"/>
      <c r="M445" s="92"/>
      <c r="N445" s="92"/>
      <c r="O445" s="93">
        <v>0</v>
      </c>
      <c r="P445" s="86"/>
      <c r="Q445" s="82">
        <f t="shared" si="24"/>
        <v>440</v>
      </c>
    </row>
    <row r="446" spans="1:17" ht="20.25" customHeight="1">
      <c r="A446" s="85"/>
      <c r="B446" s="102"/>
      <c r="C446" s="86"/>
      <c r="D446" s="87"/>
      <c r="E446" s="88" t="str">
        <f>IFERROR(VLOOKUP(D446,ProductMaster!$A:$B,2,FALSE),"")</f>
        <v/>
      </c>
      <c r="F446" s="88" t="str">
        <f>IFERROR(VLOOKUP(D446,ProductMaster!$A:$C,3,FALSE),"")</f>
        <v/>
      </c>
      <c r="G446" s="89" t="str">
        <f>IFERROR(VLOOKUP($D446,ProductMaster!$A:$O,4,FALSE),"")</f>
        <v/>
      </c>
      <c r="H446" s="90"/>
      <c r="I446" s="123">
        <f>IFERROR(VLOOKUP(E446,ProductMaster!B:G,6,FALSE),0)</f>
        <v>0</v>
      </c>
      <c r="J446" s="123">
        <f t="shared" si="23"/>
        <v>0</v>
      </c>
      <c r="K446" s="123">
        <f t="shared" si="22"/>
        <v>0</v>
      </c>
      <c r="L446" s="91"/>
      <c r="M446" s="92"/>
      <c r="N446" s="92"/>
      <c r="O446" s="93">
        <v>0</v>
      </c>
      <c r="P446" s="86"/>
      <c r="Q446" s="82">
        <f t="shared" si="24"/>
        <v>441</v>
      </c>
    </row>
    <row r="447" spans="1:17" ht="20.25" customHeight="1">
      <c r="A447" s="85"/>
      <c r="B447" s="102"/>
      <c r="C447" s="86"/>
      <c r="D447" s="87"/>
      <c r="E447" s="88" t="str">
        <f>IFERROR(VLOOKUP(D447,ProductMaster!$A:$B,2,FALSE),"")</f>
        <v/>
      </c>
      <c r="F447" s="88" t="str">
        <f>IFERROR(VLOOKUP(D447,ProductMaster!$A:$C,3,FALSE),"")</f>
        <v/>
      </c>
      <c r="G447" s="89" t="str">
        <f>IFERROR(VLOOKUP($D447,ProductMaster!$A:$O,4,FALSE),"")</f>
        <v/>
      </c>
      <c r="H447" s="90"/>
      <c r="I447" s="123">
        <f>IFERROR(VLOOKUP(E447,ProductMaster!B:G,6,FALSE),0)</f>
        <v>0</v>
      </c>
      <c r="J447" s="123">
        <f t="shared" si="23"/>
        <v>0</v>
      </c>
      <c r="K447" s="123">
        <f t="shared" si="22"/>
        <v>0</v>
      </c>
      <c r="L447" s="91"/>
      <c r="M447" s="92"/>
      <c r="N447" s="92"/>
      <c r="O447" s="93">
        <v>0</v>
      </c>
      <c r="P447" s="86"/>
      <c r="Q447" s="82">
        <f t="shared" si="24"/>
        <v>442</v>
      </c>
    </row>
    <row r="448" spans="1:17" ht="20.25" customHeight="1">
      <c r="A448" s="85"/>
      <c r="B448" s="102"/>
      <c r="C448" s="86"/>
      <c r="D448" s="87"/>
      <c r="E448" s="88" t="str">
        <f>IFERROR(VLOOKUP(D448,ProductMaster!$A:$B,2,FALSE),"")</f>
        <v/>
      </c>
      <c r="F448" s="88" t="str">
        <f>IFERROR(VLOOKUP(D448,ProductMaster!$A:$C,3,FALSE),"")</f>
        <v/>
      </c>
      <c r="G448" s="89" t="str">
        <f>IFERROR(VLOOKUP($D448,ProductMaster!$A:$O,4,FALSE),"")</f>
        <v/>
      </c>
      <c r="H448" s="90"/>
      <c r="I448" s="123">
        <f>IFERROR(VLOOKUP(E448,ProductMaster!B:G,6,FALSE),0)</f>
        <v>0</v>
      </c>
      <c r="J448" s="123">
        <f t="shared" si="23"/>
        <v>0</v>
      </c>
      <c r="K448" s="123">
        <f t="shared" si="22"/>
        <v>0</v>
      </c>
      <c r="L448" s="91"/>
      <c r="M448" s="92"/>
      <c r="N448" s="92"/>
      <c r="O448" s="93">
        <v>0</v>
      </c>
      <c r="P448" s="86"/>
      <c r="Q448" s="82">
        <f t="shared" si="24"/>
        <v>443</v>
      </c>
    </row>
    <row r="449" spans="1:17" ht="20.25" customHeight="1">
      <c r="A449" s="85"/>
      <c r="B449" s="102"/>
      <c r="C449" s="86"/>
      <c r="D449" s="87"/>
      <c r="E449" s="88" t="str">
        <f>IFERROR(VLOOKUP(D449,ProductMaster!$A:$B,2,FALSE),"")</f>
        <v/>
      </c>
      <c r="F449" s="88" t="str">
        <f>IFERROR(VLOOKUP(D449,ProductMaster!$A:$C,3,FALSE),"")</f>
        <v/>
      </c>
      <c r="G449" s="89" t="str">
        <f>IFERROR(VLOOKUP($D449,ProductMaster!$A:$O,4,FALSE),"")</f>
        <v/>
      </c>
      <c r="H449" s="90"/>
      <c r="I449" s="123">
        <f>IFERROR(VLOOKUP(E449,ProductMaster!B:G,6,FALSE),0)</f>
        <v>0</v>
      </c>
      <c r="J449" s="123">
        <f t="shared" si="23"/>
        <v>0</v>
      </c>
      <c r="K449" s="123">
        <f t="shared" si="22"/>
        <v>0</v>
      </c>
      <c r="L449" s="91"/>
      <c r="M449" s="92"/>
      <c r="N449" s="92"/>
      <c r="O449" s="93">
        <v>0</v>
      </c>
      <c r="P449" s="86"/>
      <c r="Q449" s="82">
        <f t="shared" si="24"/>
        <v>444</v>
      </c>
    </row>
    <row r="450" spans="1:17" ht="20.25" customHeight="1">
      <c r="A450" s="85"/>
      <c r="B450" s="102"/>
      <c r="C450" s="86"/>
      <c r="D450" s="87"/>
      <c r="E450" s="88" t="str">
        <f>IFERROR(VLOOKUP(D450,ProductMaster!$A:$B,2,FALSE),"")</f>
        <v/>
      </c>
      <c r="F450" s="88" t="str">
        <f>IFERROR(VLOOKUP(D450,ProductMaster!$A:$C,3,FALSE),"")</f>
        <v/>
      </c>
      <c r="G450" s="89" t="str">
        <f>IFERROR(VLOOKUP($D450,ProductMaster!$A:$O,4,FALSE),"")</f>
        <v/>
      </c>
      <c r="H450" s="90"/>
      <c r="I450" s="123">
        <f>IFERROR(VLOOKUP(E450,ProductMaster!B:G,6,FALSE),0)</f>
        <v>0</v>
      </c>
      <c r="J450" s="123">
        <f t="shared" si="23"/>
        <v>0</v>
      </c>
      <c r="K450" s="123">
        <f t="shared" ref="K450:K500" si="25">ROUND(SUM(H450*I450),2)</f>
        <v>0</v>
      </c>
      <c r="L450" s="91"/>
      <c r="M450" s="92"/>
      <c r="N450" s="92"/>
      <c r="O450" s="93">
        <v>0</v>
      </c>
      <c r="P450" s="86"/>
      <c r="Q450" s="82">
        <f t="shared" si="24"/>
        <v>445</v>
      </c>
    </row>
    <row r="451" spans="1:17" ht="20.25" customHeight="1">
      <c r="A451" s="85"/>
      <c r="B451" s="102"/>
      <c r="C451" s="86"/>
      <c r="D451" s="87"/>
      <c r="E451" s="88" t="str">
        <f>IFERROR(VLOOKUP(D451,ProductMaster!$A:$B,2,FALSE),"")</f>
        <v/>
      </c>
      <c r="F451" s="88" t="str">
        <f>IFERROR(VLOOKUP(D451,ProductMaster!$A:$C,3,FALSE),"")</f>
        <v/>
      </c>
      <c r="G451" s="89" t="str">
        <f>IFERROR(VLOOKUP($D451,ProductMaster!$A:$O,4,FALSE),"")</f>
        <v/>
      </c>
      <c r="H451" s="90"/>
      <c r="I451" s="123">
        <f>IFERROR(VLOOKUP(E451,ProductMaster!B:G,6,FALSE),0)</f>
        <v>0</v>
      </c>
      <c r="J451" s="123">
        <f t="shared" ref="J451:J500" si="26">ROUND(SUM(I451*7%),2)</f>
        <v>0</v>
      </c>
      <c r="K451" s="123">
        <f t="shared" si="25"/>
        <v>0</v>
      </c>
      <c r="L451" s="91"/>
      <c r="M451" s="92"/>
      <c r="N451" s="92"/>
      <c r="O451" s="93">
        <v>0</v>
      </c>
      <c r="P451" s="86"/>
      <c r="Q451" s="82">
        <f t="shared" ref="Q451:Q500" si="27">IF(B451=B450,Q450+1,1)</f>
        <v>446</v>
      </c>
    </row>
    <row r="452" spans="1:17" ht="20.25" customHeight="1">
      <c r="A452" s="85"/>
      <c r="B452" s="102"/>
      <c r="C452" s="86"/>
      <c r="D452" s="87"/>
      <c r="E452" s="88" t="str">
        <f>IFERROR(VLOOKUP(D452,ProductMaster!$A:$B,2,FALSE),"")</f>
        <v/>
      </c>
      <c r="F452" s="88" t="str">
        <f>IFERROR(VLOOKUP(D452,ProductMaster!$A:$C,3,FALSE),"")</f>
        <v/>
      </c>
      <c r="G452" s="89" t="str">
        <f>IFERROR(VLOOKUP($D452,ProductMaster!$A:$O,4,FALSE),"")</f>
        <v/>
      </c>
      <c r="H452" s="90"/>
      <c r="I452" s="123">
        <f>IFERROR(VLOOKUP(E452,ProductMaster!B:G,6,FALSE),0)</f>
        <v>0</v>
      </c>
      <c r="J452" s="123">
        <f t="shared" si="26"/>
        <v>0</v>
      </c>
      <c r="K452" s="123">
        <f t="shared" si="25"/>
        <v>0</v>
      </c>
      <c r="L452" s="91"/>
      <c r="M452" s="92"/>
      <c r="N452" s="92"/>
      <c r="O452" s="93">
        <v>0</v>
      </c>
      <c r="P452" s="86"/>
      <c r="Q452" s="82">
        <f t="shared" si="27"/>
        <v>447</v>
      </c>
    </row>
    <row r="453" spans="1:17" ht="20.25" customHeight="1">
      <c r="A453" s="85"/>
      <c r="B453" s="102"/>
      <c r="C453" s="86"/>
      <c r="D453" s="87"/>
      <c r="E453" s="88" t="str">
        <f>IFERROR(VLOOKUP(D453,ProductMaster!$A:$B,2,FALSE),"")</f>
        <v/>
      </c>
      <c r="F453" s="88" t="str">
        <f>IFERROR(VLOOKUP(D453,ProductMaster!$A:$C,3,FALSE),"")</f>
        <v/>
      </c>
      <c r="G453" s="89" t="str">
        <f>IFERROR(VLOOKUP($D453,ProductMaster!$A:$O,4,FALSE),"")</f>
        <v/>
      </c>
      <c r="H453" s="90"/>
      <c r="I453" s="123">
        <f>IFERROR(VLOOKUP(E453,ProductMaster!B:G,6,FALSE),0)</f>
        <v>0</v>
      </c>
      <c r="J453" s="123">
        <f t="shared" si="26"/>
        <v>0</v>
      </c>
      <c r="K453" s="123">
        <f t="shared" si="25"/>
        <v>0</v>
      </c>
      <c r="L453" s="91"/>
      <c r="M453" s="92"/>
      <c r="N453" s="92"/>
      <c r="O453" s="93">
        <v>0</v>
      </c>
      <c r="P453" s="86"/>
      <c r="Q453" s="82">
        <f t="shared" si="27"/>
        <v>448</v>
      </c>
    </row>
    <row r="454" spans="1:17" ht="20.25" customHeight="1">
      <c r="A454" s="85"/>
      <c r="B454" s="102"/>
      <c r="C454" s="86"/>
      <c r="D454" s="87"/>
      <c r="E454" s="88" t="str">
        <f>IFERROR(VLOOKUP(D454,ProductMaster!$A:$B,2,FALSE),"")</f>
        <v/>
      </c>
      <c r="F454" s="88" t="str">
        <f>IFERROR(VLOOKUP(D454,ProductMaster!$A:$C,3,FALSE),"")</f>
        <v/>
      </c>
      <c r="G454" s="89" t="str">
        <f>IFERROR(VLOOKUP($D454,ProductMaster!$A:$O,4,FALSE),"")</f>
        <v/>
      </c>
      <c r="H454" s="90"/>
      <c r="I454" s="123">
        <f>IFERROR(VLOOKUP(E454,ProductMaster!B:G,6,FALSE),0)</f>
        <v>0</v>
      </c>
      <c r="J454" s="123">
        <f t="shared" si="26"/>
        <v>0</v>
      </c>
      <c r="K454" s="123">
        <f t="shared" si="25"/>
        <v>0</v>
      </c>
      <c r="L454" s="91"/>
      <c r="M454" s="92"/>
      <c r="N454" s="92"/>
      <c r="O454" s="93">
        <v>0</v>
      </c>
      <c r="P454" s="86"/>
      <c r="Q454" s="82">
        <f t="shared" si="27"/>
        <v>449</v>
      </c>
    </row>
    <row r="455" spans="1:17" ht="20.25" customHeight="1">
      <c r="A455" s="85"/>
      <c r="B455" s="102"/>
      <c r="C455" s="86"/>
      <c r="D455" s="87"/>
      <c r="E455" s="88" t="str">
        <f>IFERROR(VLOOKUP(D455,ProductMaster!$A:$B,2,FALSE),"")</f>
        <v/>
      </c>
      <c r="F455" s="88" t="str">
        <f>IFERROR(VLOOKUP(D455,ProductMaster!$A:$C,3,FALSE),"")</f>
        <v/>
      </c>
      <c r="G455" s="89" t="str">
        <f>IFERROR(VLOOKUP($D455,ProductMaster!$A:$O,4,FALSE),"")</f>
        <v/>
      </c>
      <c r="H455" s="90"/>
      <c r="I455" s="123">
        <f>IFERROR(VLOOKUP(E455,ProductMaster!B:G,6,FALSE),0)</f>
        <v>0</v>
      </c>
      <c r="J455" s="123">
        <f t="shared" si="26"/>
        <v>0</v>
      </c>
      <c r="K455" s="123">
        <f t="shared" si="25"/>
        <v>0</v>
      </c>
      <c r="L455" s="91"/>
      <c r="M455" s="92"/>
      <c r="N455" s="92"/>
      <c r="O455" s="93">
        <v>0</v>
      </c>
      <c r="P455" s="86"/>
      <c r="Q455" s="82">
        <f t="shared" si="27"/>
        <v>450</v>
      </c>
    </row>
    <row r="456" spans="1:17" ht="20.25" customHeight="1">
      <c r="A456" s="85"/>
      <c r="B456" s="102"/>
      <c r="C456" s="86"/>
      <c r="D456" s="87"/>
      <c r="E456" s="88" t="str">
        <f>IFERROR(VLOOKUP(D456,ProductMaster!$A:$B,2,FALSE),"")</f>
        <v/>
      </c>
      <c r="F456" s="88" t="str">
        <f>IFERROR(VLOOKUP(D456,ProductMaster!$A:$C,3,FALSE),"")</f>
        <v/>
      </c>
      <c r="G456" s="89" t="str">
        <f>IFERROR(VLOOKUP($D456,ProductMaster!$A:$O,4,FALSE),"")</f>
        <v/>
      </c>
      <c r="H456" s="90"/>
      <c r="I456" s="123">
        <f>IFERROR(VLOOKUP(E456,ProductMaster!B:G,6,FALSE),0)</f>
        <v>0</v>
      </c>
      <c r="J456" s="123">
        <f t="shared" si="26"/>
        <v>0</v>
      </c>
      <c r="K456" s="123">
        <f t="shared" si="25"/>
        <v>0</v>
      </c>
      <c r="L456" s="91"/>
      <c r="M456" s="92"/>
      <c r="N456" s="92"/>
      <c r="O456" s="93">
        <v>0</v>
      </c>
      <c r="P456" s="86"/>
      <c r="Q456" s="82">
        <f t="shared" si="27"/>
        <v>451</v>
      </c>
    </row>
    <row r="457" spans="1:17" ht="20.25" customHeight="1">
      <c r="A457" s="85"/>
      <c r="B457" s="102"/>
      <c r="C457" s="86"/>
      <c r="D457" s="87"/>
      <c r="E457" s="88" t="str">
        <f>IFERROR(VLOOKUP(D457,ProductMaster!$A:$B,2,FALSE),"")</f>
        <v/>
      </c>
      <c r="F457" s="88" t="str">
        <f>IFERROR(VLOOKUP(D457,ProductMaster!$A:$C,3,FALSE),"")</f>
        <v/>
      </c>
      <c r="G457" s="89" t="str">
        <f>IFERROR(VLOOKUP($D457,ProductMaster!$A:$O,4,FALSE),"")</f>
        <v/>
      </c>
      <c r="H457" s="90"/>
      <c r="I457" s="123">
        <f>IFERROR(VLOOKUP(E457,ProductMaster!B:G,6,FALSE),0)</f>
        <v>0</v>
      </c>
      <c r="J457" s="123">
        <f t="shared" si="26"/>
        <v>0</v>
      </c>
      <c r="K457" s="123">
        <f t="shared" si="25"/>
        <v>0</v>
      </c>
      <c r="L457" s="91"/>
      <c r="M457" s="92"/>
      <c r="N457" s="92"/>
      <c r="O457" s="93">
        <v>0</v>
      </c>
      <c r="P457" s="86"/>
      <c r="Q457" s="82">
        <f t="shared" si="27"/>
        <v>452</v>
      </c>
    </row>
    <row r="458" spans="1:17" ht="20.25" customHeight="1">
      <c r="A458" s="85"/>
      <c r="B458" s="102"/>
      <c r="C458" s="86"/>
      <c r="D458" s="87"/>
      <c r="E458" s="88" t="str">
        <f>IFERROR(VLOOKUP(D458,ProductMaster!$A:$B,2,FALSE),"")</f>
        <v/>
      </c>
      <c r="F458" s="88" t="str">
        <f>IFERROR(VLOOKUP(D458,ProductMaster!$A:$C,3,FALSE),"")</f>
        <v/>
      </c>
      <c r="G458" s="89" t="str">
        <f>IFERROR(VLOOKUP($D458,ProductMaster!$A:$O,4,FALSE),"")</f>
        <v/>
      </c>
      <c r="H458" s="90"/>
      <c r="I458" s="123">
        <f>IFERROR(VLOOKUP(E458,ProductMaster!B:G,6,FALSE),0)</f>
        <v>0</v>
      </c>
      <c r="J458" s="123">
        <f t="shared" si="26"/>
        <v>0</v>
      </c>
      <c r="K458" s="123">
        <f t="shared" si="25"/>
        <v>0</v>
      </c>
      <c r="L458" s="91"/>
      <c r="M458" s="92"/>
      <c r="N458" s="92"/>
      <c r="O458" s="93">
        <v>0</v>
      </c>
      <c r="P458" s="86"/>
      <c r="Q458" s="82">
        <f t="shared" si="27"/>
        <v>453</v>
      </c>
    </row>
    <row r="459" spans="1:17" ht="20.25" customHeight="1">
      <c r="A459" s="85"/>
      <c r="B459" s="102"/>
      <c r="C459" s="86"/>
      <c r="D459" s="87"/>
      <c r="E459" s="88" t="str">
        <f>IFERROR(VLOOKUP(D459,ProductMaster!$A:$B,2,FALSE),"")</f>
        <v/>
      </c>
      <c r="F459" s="88" t="str">
        <f>IFERROR(VLOOKUP(D459,ProductMaster!$A:$C,3,FALSE),"")</f>
        <v/>
      </c>
      <c r="G459" s="89" t="str">
        <f>IFERROR(VLOOKUP($D459,ProductMaster!$A:$O,4,FALSE),"")</f>
        <v/>
      </c>
      <c r="H459" s="90"/>
      <c r="I459" s="123">
        <f>IFERROR(VLOOKUP(E459,ProductMaster!B:G,6,FALSE),0)</f>
        <v>0</v>
      </c>
      <c r="J459" s="123">
        <f t="shared" si="26"/>
        <v>0</v>
      </c>
      <c r="K459" s="123">
        <f t="shared" si="25"/>
        <v>0</v>
      </c>
      <c r="L459" s="91"/>
      <c r="M459" s="92"/>
      <c r="N459" s="92"/>
      <c r="O459" s="93">
        <v>0</v>
      </c>
      <c r="P459" s="86"/>
      <c r="Q459" s="82">
        <f t="shared" si="27"/>
        <v>454</v>
      </c>
    </row>
    <row r="460" spans="1:17" ht="20.25" customHeight="1">
      <c r="A460" s="85"/>
      <c r="B460" s="102"/>
      <c r="C460" s="86"/>
      <c r="D460" s="87"/>
      <c r="E460" s="88" t="str">
        <f>IFERROR(VLOOKUP(D460,ProductMaster!$A:$B,2,FALSE),"")</f>
        <v/>
      </c>
      <c r="F460" s="88" t="str">
        <f>IFERROR(VLOOKUP(D460,ProductMaster!$A:$C,3,FALSE),"")</f>
        <v/>
      </c>
      <c r="G460" s="89" t="str">
        <f>IFERROR(VLOOKUP($D460,ProductMaster!$A:$O,4,FALSE),"")</f>
        <v/>
      </c>
      <c r="H460" s="90"/>
      <c r="I460" s="123">
        <f>IFERROR(VLOOKUP(E460,ProductMaster!B:G,6,FALSE),0)</f>
        <v>0</v>
      </c>
      <c r="J460" s="123">
        <f t="shared" si="26"/>
        <v>0</v>
      </c>
      <c r="K460" s="123">
        <f t="shared" si="25"/>
        <v>0</v>
      </c>
      <c r="L460" s="91"/>
      <c r="M460" s="92"/>
      <c r="N460" s="92"/>
      <c r="O460" s="93">
        <v>0</v>
      </c>
      <c r="P460" s="86"/>
      <c r="Q460" s="82">
        <f t="shared" si="27"/>
        <v>455</v>
      </c>
    </row>
    <row r="461" spans="1:17" ht="20.25" customHeight="1">
      <c r="A461" s="85"/>
      <c r="B461" s="102"/>
      <c r="C461" s="86"/>
      <c r="D461" s="87"/>
      <c r="E461" s="88" t="str">
        <f>IFERROR(VLOOKUP(D461,ProductMaster!$A:$B,2,FALSE),"")</f>
        <v/>
      </c>
      <c r="F461" s="88" t="str">
        <f>IFERROR(VLOOKUP(D461,ProductMaster!$A:$C,3,FALSE),"")</f>
        <v/>
      </c>
      <c r="G461" s="89" t="str">
        <f>IFERROR(VLOOKUP($D461,ProductMaster!$A:$O,4,FALSE),"")</f>
        <v/>
      </c>
      <c r="H461" s="90"/>
      <c r="I461" s="123">
        <f>IFERROR(VLOOKUP(E461,ProductMaster!B:G,6,FALSE),0)</f>
        <v>0</v>
      </c>
      <c r="J461" s="123">
        <f t="shared" si="26"/>
        <v>0</v>
      </c>
      <c r="K461" s="123">
        <f t="shared" si="25"/>
        <v>0</v>
      </c>
      <c r="L461" s="91"/>
      <c r="M461" s="92"/>
      <c r="N461" s="92"/>
      <c r="O461" s="93">
        <v>0</v>
      </c>
      <c r="P461" s="86"/>
      <c r="Q461" s="82">
        <f t="shared" si="27"/>
        <v>456</v>
      </c>
    </row>
    <row r="462" spans="1:17" ht="20.25" customHeight="1">
      <c r="A462" s="85"/>
      <c r="B462" s="102"/>
      <c r="C462" s="86"/>
      <c r="D462" s="87"/>
      <c r="E462" s="88" t="str">
        <f>IFERROR(VLOOKUP(D462,ProductMaster!$A:$B,2,FALSE),"")</f>
        <v/>
      </c>
      <c r="F462" s="88" t="str">
        <f>IFERROR(VLOOKUP(D462,ProductMaster!$A:$C,3,FALSE),"")</f>
        <v/>
      </c>
      <c r="G462" s="89" t="str">
        <f>IFERROR(VLOOKUP($D462,ProductMaster!$A:$O,4,FALSE),"")</f>
        <v/>
      </c>
      <c r="H462" s="90"/>
      <c r="I462" s="123">
        <f>IFERROR(VLOOKUP(E462,ProductMaster!B:G,6,FALSE),0)</f>
        <v>0</v>
      </c>
      <c r="J462" s="123">
        <f t="shared" si="26"/>
        <v>0</v>
      </c>
      <c r="K462" s="123">
        <f t="shared" si="25"/>
        <v>0</v>
      </c>
      <c r="L462" s="91"/>
      <c r="M462" s="92"/>
      <c r="N462" s="92"/>
      <c r="O462" s="93">
        <v>0</v>
      </c>
      <c r="P462" s="86"/>
      <c r="Q462" s="82">
        <f t="shared" si="27"/>
        <v>457</v>
      </c>
    </row>
    <row r="463" spans="1:17" ht="20.25" customHeight="1">
      <c r="A463" s="85"/>
      <c r="B463" s="102"/>
      <c r="C463" s="86"/>
      <c r="D463" s="87"/>
      <c r="E463" s="88" t="str">
        <f>IFERROR(VLOOKUP(D463,ProductMaster!$A:$B,2,FALSE),"")</f>
        <v/>
      </c>
      <c r="F463" s="88" t="str">
        <f>IFERROR(VLOOKUP(D463,ProductMaster!$A:$C,3,FALSE),"")</f>
        <v/>
      </c>
      <c r="G463" s="89" t="str">
        <f>IFERROR(VLOOKUP($D463,ProductMaster!$A:$O,4,FALSE),"")</f>
        <v/>
      </c>
      <c r="H463" s="90"/>
      <c r="I463" s="123">
        <f>IFERROR(VLOOKUP(E463,ProductMaster!B:G,6,FALSE),0)</f>
        <v>0</v>
      </c>
      <c r="J463" s="123">
        <f t="shared" si="26"/>
        <v>0</v>
      </c>
      <c r="K463" s="123">
        <f t="shared" si="25"/>
        <v>0</v>
      </c>
      <c r="L463" s="91"/>
      <c r="M463" s="92"/>
      <c r="N463" s="92"/>
      <c r="O463" s="93">
        <v>0</v>
      </c>
      <c r="P463" s="86"/>
      <c r="Q463" s="82">
        <f t="shared" si="27"/>
        <v>458</v>
      </c>
    </row>
    <row r="464" spans="1:17" ht="20.25" customHeight="1">
      <c r="A464" s="85"/>
      <c r="B464" s="102"/>
      <c r="C464" s="86"/>
      <c r="D464" s="87"/>
      <c r="E464" s="88" t="str">
        <f>IFERROR(VLOOKUP(D464,ProductMaster!$A:$B,2,FALSE),"")</f>
        <v/>
      </c>
      <c r="F464" s="88" t="str">
        <f>IFERROR(VLOOKUP(D464,ProductMaster!$A:$C,3,FALSE),"")</f>
        <v/>
      </c>
      <c r="G464" s="89" t="str">
        <f>IFERROR(VLOOKUP($D464,ProductMaster!$A:$O,4,FALSE),"")</f>
        <v/>
      </c>
      <c r="H464" s="90"/>
      <c r="I464" s="123">
        <f>IFERROR(VLOOKUP(E464,ProductMaster!B:G,6,FALSE),0)</f>
        <v>0</v>
      </c>
      <c r="J464" s="123">
        <f t="shared" si="26"/>
        <v>0</v>
      </c>
      <c r="K464" s="123">
        <f t="shared" si="25"/>
        <v>0</v>
      </c>
      <c r="L464" s="91"/>
      <c r="M464" s="92"/>
      <c r="N464" s="92"/>
      <c r="O464" s="93">
        <v>0</v>
      </c>
      <c r="P464" s="86"/>
      <c r="Q464" s="82">
        <f t="shared" si="27"/>
        <v>459</v>
      </c>
    </row>
    <row r="465" spans="1:17" ht="20.25" customHeight="1">
      <c r="A465" s="85"/>
      <c r="B465" s="102"/>
      <c r="C465" s="86"/>
      <c r="D465" s="87"/>
      <c r="E465" s="88" t="str">
        <f>IFERROR(VLOOKUP(D465,ProductMaster!$A:$B,2,FALSE),"")</f>
        <v/>
      </c>
      <c r="F465" s="88" t="str">
        <f>IFERROR(VLOOKUP(D465,ProductMaster!$A:$C,3,FALSE),"")</f>
        <v/>
      </c>
      <c r="G465" s="89" t="str">
        <f>IFERROR(VLOOKUP($D465,ProductMaster!$A:$O,4,FALSE),"")</f>
        <v/>
      </c>
      <c r="H465" s="90"/>
      <c r="I465" s="123">
        <f>IFERROR(VLOOKUP(E465,ProductMaster!B:G,6,FALSE),0)</f>
        <v>0</v>
      </c>
      <c r="J465" s="123">
        <f t="shared" si="26"/>
        <v>0</v>
      </c>
      <c r="K465" s="123">
        <f t="shared" si="25"/>
        <v>0</v>
      </c>
      <c r="L465" s="91"/>
      <c r="M465" s="92"/>
      <c r="N465" s="92"/>
      <c r="O465" s="93">
        <v>0</v>
      </c>
      <c r="P465" s="86"/>
      <c r="Q465" s="82">
        <f t="shared" si="27"/>
        <v>460</v>
      </c>
    </row>
    <row r="466" spans="1:17" ht="20.25" customHeight="1">
      <c r="A466" s="85"/>
      <c r="B466" s="102"/>
      <c r="C466" s="86"/>
      <c r="D466" s="87"/>
      <c r="E466" s="88" t="str">
        <f>IFERROR(VLOOKUP(D466,ProductMaster!$A:$B,2,FALSE),"")</f>
        <v/>
      </c>
      <c r="F466" s="88" t="str">
        <f>IFERROR(VLOOKUP(D466,ProductMaster!$A:$C,3,FALSE),"")</f>
        <v/>
      </c>
      <c r="G466" s="89" t="str">
        <f>IFERROR(VLOOKUP($D466,ProductMaster!$A:$O,4,FALSE),"")</f>
        <v/>
      </c>
      <c r="H466" s="90"/>
      <c r="I466" s="123">
        <f>IFERROR(VLOOKUP(E466,ProductMaster!B:G,6,FALSE),0)</f>
        <v>0</v>
      </c>
      <c r="J466" s="123">
        <f t="shared" si="26"/>
        <v>0</v>
      </c>
      <c r="K466" s="123">
        <f t="shared" si="25"/>
        <v>0</v>
      </c>
      <c r="L466" s="91"/>
      <c r="M466" s="92"/>
      <c r="N466" s="92"/>
      <c r="O466" s="93">
        <v>0</v>
      </c>
      <c r="P466" s="86"/>
      <c r="Q466" s="82">
        <f t="shared" si="27"/>
        <v>461</v>
      </c>
    </row>
    <row r="467" spans="1:17" ht="20.25" customHeight="1">
      <c r="A467" s="85"/>
      <c r="B467" s="102"/>
      <c r="C467" s="86"/>
      <c r="D467" s="87"/>
      <c r="E467" s="88" t="str">
        <f>IFERROR(VLOOKUP(D467,ProductMaster!$A:$B,2,FALSE),"")</f>
        <v/>
      </c>
      <c r="F467" s="88" t="str">
        <f>IFERROR(VLOOKUP(D467,ProductMaster!$A:$C,3,FALSE),"")</f>
        <v/>
      </c>
      <c r="G467" s="89" t="str">
        <f>IFERROR(VLOOKUP($D467,ProductMaster!$A:$O,4,FALSE),"")</f>
        <v/>
      </c>
      <c r="H467" s="90"/>
      <c r="I467" s="123">
        <f>IFERROR(VLOOKUP(E467,ProductMaster!B:G,6,FALSE),0)</f>
        <v>0</v>
      </c>
      <c r="J467" s="123">
        <f t="shared" si="26"/>
        <v>0</v>
      </c>
      <c r="K467" s="123">
        <f t="shared" si="25"/>
        <v>0</v>
      </c>
      <c r="L467" s="91"/>
      <c r="M467" s="92"/>
      <c r="N467" s="92"/>
      <c r="O467" s="93">
        <v>0</v>
      </c>
      <c r="P467" s="86"/>
      <c r="Q467" s="82">
        <f t="shared" si="27"/>
        <v>462</v>
      </c>
    </row>
    <row r="468" spans="1:17" ht="20.25" customHeight="1">
      <c r="A468" s="85"/>
      <c r="B468" s="102"/>
      <c r="C468" s="86"/>
      <c r="D468" s="87"/>
      <c r="E468" s="88" t="str">
        <f>IFERROR(VLOOKUP(D468,ProductMaster!$A:$B,2,FALSE),"")</f>
        <v/>
      </c>
      <c r="F468" s="88" t="str">
        <f>IFERROR(VLOOKUP(D468,ProductMaster!$A:$C,3,FALSE),"")</f>
        <v/>
      </c>
      <c r="G468" s="89" t="str">
        <f>IFERROR(VLOOKUP($D468,ProductMaster!$A:$O,4,FALSE),"")</f>
        <v/>
      </c>
      <c r="H468" s="90"/>
      <c r="I468" s="123">
        <f>IFERROR(VLOOKUP(E468,ProductMaster!B:G,6,FALSE),0)</f>
        <v>0</v>
      </c>
      <c r="J468" s="123">
        <f t="shared" si="26"/>
        <v>0</v>
      </c>
      <c r="K468" s="123">
        <f t="shared" si="25"/>
        <v>0</v>
      </c>
      <c r="L468" s="91"/>
      <c r="M468" s="92"/>
      <c r="N468" s="92"/>
      <c r="O468" s="93">
        <v>0</v>
      </c>
      <c r="P468" s="86"/>
      <c r="Q468" s="82">
        <f t="shared" si="27"/>
        <v>463</v>
      </c>
    </row>
    <row r="469" spans="1:17" ht="20.25" customHeight="1">
      <c r="A469" s="85"/>
      <c r="B469" s="102"/>
      <c r="C469" s="86"/>
      <c r="D469" s="87"/>
      <c r="E469" s="88" t="str">
        <f>IFERROR(VLOOKUP(D469,ProductMaster!$A:$B,2,FALSE),"")</f>
        <v/>
      </c>
      <c r="F469" s="88" t="str">
        <f>IFERROR(VLOOKUP(D469,ProductMaster!$A:$C,3,FALSE),"")</f>
        <v/>
      </c>
      <c r="G469" s="89" t="str">
        <f>IFERROR(VLOOKUP($D469,ProductMaster!$A:$O,4,FALSE),"")</f>
        <v/>
      </c>
      <c r="H469" s="90"/>
      <c r="I469" s="123">
        <f>IFERROR(VLOOKUP(E469,ProductMaster!B:G,6,FALSE),0)</f>
        <v>0</v>
      </c>
      <c r="J469" s="123">
        <f t="shared" si="26"/>
        <v>0</v>
      </c>
      <c r="K469" s="123">
        <f t="shared" si="25"/>
        <v>0</v>
      </c>
      <c r="L469" s="91"/>
      <c r="M469" s="92"/>
      <c r="N469" s="92"/>
      <c r="O469" s="93">
        <v>0</v>
      </c>
      <c r="P469" s="86"/>
      <c r="Q469" s="82">
        <f t="shared" si="27"/>
        <v>464</v>
      </c>
    </row>
    <row r="470" spans="1:17" ht="20.25" customHeight="1">
      <c r="A470" s="85"/>
      <c r="B470" s="102"/>
      <c r="C470" s="86"/>
      <c r="D470" s="87"/>
      <c r="E470" s="88" t="str">
        <f>IFERROR(VLOOKUP(D470,ProductMaster!$A:$B,2,FALSE),"")</f>
        <v/>
      </c>
      <c r="F470" s="88" t="str">
        <f>IFERROR(VLOOKUP(D470,ProductMaster!$A:$C,3,FALSE),"")</f>
        <v/>
      </c>
      <c r="G470" s="89" t="str">
        <f>IFERROR(VLOOKUP($D470,ProductMaster!$A:$O,4,FALSE),"")</f>
        <v/>
      </c>
      <c r="H470" s="90"/>
      <c r="I470" s="123">
        <f>IFERROR(VLOOKUP(E470,ProductMaster!B:G,6,FALSE),0)</f>
        <v>0</v>
      </c>
      <c r="J470" s="123">
        <f t="shared" si="26"/>
        <v>0</v>
      </c>
      <c r="K470" s="123">
        <f t="shared" si="25"/>
        <v>0</v>
      </c>
      <c r="L470" s="91"/>
      <c r="M470" s="92"/>
      <c r="N470" s="92"/>
      <c r="O470" s="93">
        <v>0</v>
      </c>
      <c r="P470" s="86"/>
      <c r="Q470" s="82">
        <f t="shared" si="27"/>
        <v>465</v>
      </c>
    </row>
    <row r="471" spans="1:17" ht="20.25" customHeight="1">
      <c r="A471" s="85"/>
      <c r="B471" s="102"/>
      <c r="C471" s="86"/>
      <c r="D471" s="87"/>
      <c r="E471" s="88" t="str">
        <f>IFERROR(VLOOKUP(D471,ProductMaster!$A:$B,2,FALSE),"")</f>
        <v/>
      </c>
      <c r="F471" s="88" t="str">
        <f>IFERROR(VLOOKUP(D471,ProductMaster!$A:$C,3,FALSE),"")</f>
        <v/>
      </c>
      <c r="G471" s="89" t="str">
        <f>IFERROR(VLOOKUP($D471,ProductMaster!$A:$O,4,FALSE),"")</f>
        <v/>
      </c>
      <c r="H471" s="90"/>
      <c r="I471" s="123">
        <f>IFERROR(VLOOKUP(E471,ProductMaster!B:G,6,FALSE),0)</f>
        <v>0</v>
      </c>
      <c r="J471" s="123">
        <f t="shared" si="26"/>
        <v>0</v>
      </c>
      <c r="K471" s="123">
        <f t="shared" si="25"/>
        <v>0</v>
      </c>
      <c r="L471" s="91"/>
      <c r="M471" s="92"/>
      <c r="N471" s="92"/>
      <c r="O471" s="93">
        <v>0</v>
      </c>
      <c r="P471" s="86"/>
      <c r="Q471" s="82">
        <f t="shared" si="27"/>
        <v>466</v>
      </c>
    </row>
    <row r="472" spans="1:17" ht="20.25" customHeight="1">
      <c r="A472" s="85"/>
      <c r="B472" s="102"/>
      <c r="C472" s="86"/>
      <c r="D472" s="87"/>
      <c r="E472" s="88" t="str">
        <f>IFERROR(VLOOKUP(D472,ProductMaster!$A:$B,2,FALSE),"")</f>
        <v/>
      </c>
      <c r="F472" s="88" t="str">
        <f>IFERROR(VLOOKUP(D472,ProductMaster!$A:$C,3,FALSE),"")</f>
        <v/>
      </c>
      <c r="G472" s="89" t="str">
        <f>IFERROR(VLOOKUP($D472,ProductMaster!$A:$O,4,FALSE),"")</f>
        <v/>
      </c>
      <c r="H472" s="90"/>
      <c r="I472" s="123">
        <f>IFERROR(VLOOKUP(E472,ProductMaster!B:G,6,FALSE),0)</f>
        <v>0</v>
      </c>
      <c r="J472" s="123">
        <f t="shared" si="26"/>
        <v>0</v>
      </c>
      <c r="K472" s="123">
        <f t="shared" si="25"/>
        <v>0</v>
      </c>
      <c r="L472" s="91"/>
      <c r="M472" s="92"/>
      <c r="N472" s="92"/>
      <c r="O472" s="93">
        <v>0</v>
      </c>
      <c r="P472" s="86"/>
      <c r="Q472" s="82">
        <f t="shared" si="27"/>
        <v>467</v>
      </c>
    </row>
    <row r="473" spans="1:17" ht="20.25" customHeight="1">
      <c r="A473" s="85"/>
      <c r="B473" s="102"/>
      <c r="C473" s="86"/>
      <c r="D473" s="87"/>
      <c r="E473" s="88" t="str">
        <f>IFERROR(VLOOKUP(D473,ProductMaster!$A:$B,2,FALSE),"")</f>
        <v/>
      </c>
      <c r="F473" s="88" t="str">
        <f>IFERROR(VLOOKUP(D473,ProductMaster!$A:$C,3,FALSE),"")</f>
        <v/>
      </c>
      <c r="G473" s="89" t="str">
        <f>IFERROR(VLOOKUP($D473,ProductMaster!$A:$O,4,FALSE),"")</f>
        <v/>
      </c>
      <c r="H473" s="90"/>
      <c r="I473" s="123">
        <f>IFERROR(VLOOKUP(E473,ProductMaster!B:G,6,FALSE),0)</f>
        <v>0</v>
      </c>
      <c r="J473" s="123">
        <f t="shared" si="26"/>
        <v>0</v>
      </c>
      <c r="K473" s="123">
        <f t="shared" si="25"/>
        <v>0</v>
      </c>
      <c r="L473" s="91"/>
      <c r="M473" s="92"/>
      <c r="N473" s="92"/>
      <c r="O473" s="93">
        <v>0</v>
      </c>
      <c r="P473" s="86"/>
      <c r="Q473" s="82">
        <f t="shared" si="27"/>
        <v>468</v>
      </c>
    </row>
    <row r="474" spans="1:17" ht="20.25" customHeight="1">
      <c r="A474" s="85"/>
      <c r="B474" s="102"/>
      <c r="C474" s="86"/>
      <c r="D474" s="87"/>
      <c r="E474" s="88" t="str">
        <f>IFERROR(VLOOKUP(D474,ProductMaster!$A:$B,2,FALSE),"")</f>
        <v/>
      </c>
      <c r="F474" s="88" t="str">
        <f>IFERROR(VLOOKUP(D474,ProductMaster!$A:$C,3,FALSE),"")</f>
        <v/>
      </c>
      <c r="G474" s="89" t="str">
        <f>IFERROR(VLOOKUP($D474,ProductMaster!$A:$O,4,FALSE),"")</f>
        <v/>
      </c>
      <c r="H474" s="90"/>
      <c r="I474" s="123">
        <f>IFERROR(VLOOKUP(E474,ProductMaster!B:G,6,FALSE),0)</f>
        <v>0</v>
      </c>
      <c r="J474" s="123">
        <f t="shared" si="26"/>
        <v>0</v>
      </c>
      <c r="K474" s="123">
        <f t="shared" si="25"/>
        <v>0</v>
      </c>
      <c r="L474" s="91"/>
      <c r="M474" s="92"/>
      <c r="N474" s="92"/>
      <c r="O474" s="93">
        <v>0</v>
      </c>
      <c r="P474" s="86"/>
      <c r="Q474" s="82">
        <f t="shared" si="27"/>
        <v>469</v>
      </c>
    </row>
    <row r="475" spans="1:17" ht="20.25" customHeight="1">
      <c r="A475" s="85"/>
      <c r="B475" s="102"/>
      <c r="C475" s="86"/>
      <c r="D475" s="87"/>
      <c r="E475" s="88" t="str">
        <f>IFERROR(VLOOKUP(D475,ProductMaster!$A:$B,2,FALSE),"")</f>
        <v/>
      </c>
      <c r="F475" s="88" t="str">
        <f>IFERROR(VLOOKUP(D475,ProductMaster!$A:$C,3,FALSE),"")</f>
        <v/>
      </c>
      <c r="G475" s="89" t="str">
        <f>IFERROR(VLOOKUP($D475,ProductMaster!$A:$O,4,FALSE),"")</f>
        <v/>
      </c>
      <c r="H475" s="90"/>
      <c r="I475" s="123">
        <f>IFERROR(VLOOKUP(E475,ProductMaster!B:G,6,FALSE),0)</f>
        <v>0</v>
      </c>
      <c r="J475" s="123">
        <f t="shared" si="26"/>
        <v>0</v>
      </c>
      <c r="K475" s="123">
        <f t="shared" si="25"/>
        <v>0</v>
      </c>
      <c r="L475" s="91"/>
      <c r="M475" s="92"/>
      <c r="N475" s="92"/>
      <c r="O475" s="93">
        <v>0</v>
      </c>
      <c r="P475" s="86"/>
      <c r="Q475" s="82">
        <f t="shared" si="27"/>
        <v>470</v>
      </c>
    </row>
    <row r="476" spans="1:17" ht="20.25" customHeight="1">
      <c r="A476" s="85"/>
      <c r="B476" s="102"/>
      <c r="C476" s="86"/>
      <c r="D476" s="87"/>
      <c r="E476" s="88" t="str">
        <f>IFERROR(VLOOKUP(D476,ProductMaster!$A:$B,2,FALSE),"")</f>
        <v/>
      </c>
      <c r="F476" s="88" t="str">
        <f>IFERROR(VLOOKUP(D476,ProductMaster!$A:$C,3,FALSE),"")</f>
        <v/>
      </c>
      <c r="G476" s="89" t="str">
        <f>IFERROR(VLOOKUP($D476,ProductMaster!$A:$O,4,FALSE),"")</f>
        <v/>
      </c>
      <c r="H476" s="90"/>
      <c r="I476" s="123">
        <f>IFERROR(VLOOKUP(E476,ProductMaster!B:G,6,FALSE),0)</f>
        <v>0</v>
      </c>
      <c r="J476" s="123">
        <f t="shared" si="26"/>
        <v>0</v>
      </c>
      <c r="K476" s="123">
        <f t="shared" si="25"/>
        <v>0</v>
      </c>
      <c r="L476" s="91"/>
      <c r="M476" s="92"/>
      <c r="N476" s="92"/>
      <c r="O476" s="93">
        <v>0</v>
      </c>
      <c r="P476" s="86"/>
      <c r="Q476" s="82">
        <f t="shared" si="27"/>
        <v>471</v>
      </c>
    </row>
    <row r="477" spans="1:17" ht="20.25" customHeight="1">
      <c r="A477" s="85"/>
      <c r="B477" s="102"/>
      <c r="C477" s="86"/>
      <c r="D477" s="87"/>
      <c r="E477" s="88" t="str">
        <f>IFERROR(VLOOKUP(D477,ProductMaster!$A:$B,2,FALSE),"")</f>
        <v/>
      </c>
      <c r="F477" s="88" t="str">
        <f>IFERROR(VLOOKUP(D477,ProductMaster!$A:$C,3,FALSE),"")</f>
        <v/>
      </c>
      <c r="G477" s="89" t="str">
        <f>IFERROR(VLOOKUP($D477,ProductMaster!$A:$O,4,FALSE),"")</f>
        <v/>
      </c>
      <c r="H477" s="90"/>
      <c r="I477" s="123">
        <f>IFERROR(VLOOKUP(E477,ProductMaster!B:G,6,FALSE),0)</f>
        <v>0</v>
      </c>
      <c r="J477" s="123">
        <f t="shared" si="26"/>
        <v>0</v>
      </c>
      <c r="K477" s="123">
        <f t="shared" si="25"/>
        <v>0</v>
      </c>
      <c r="L477" s="91"/>
      <c r="M477" s="92"/>
      <c r="N477" s="92"/>
      <c r="O477" s="93">
        <v>0</v>
      </c>
      <c r="P477" s="86"/>
      <c r="Q477" s="82">
        <f t="shared" si="27"/>
        <v>472</v>
      </c>
    </row>
    <row r="478" spans="1:17" ht="20.25" customHeight="1">
      <c r="A478" s="85"/>
      <c r="B478" s="102"/>
      <c r="C478" s="86"/>
      <c r="D478" s="87"/>
      <c r="E478" s="88" t="str">
        <f>IFERROR(VLOOKUP(D478,ProductMaster!$A:$B,2,FALSE),"")</f>
        <v/>
      </c>
      <c r="F478" s="88" t="str">
        <f>IFERROR(VLOOKUP(D478,ProductMaster!$A:$C,3,FALSE),"")</f>
        <v/>
      </c>
      <c r="G478" s="89" t="str">
        <f>IFERROR(VLOOKUP($D478,ProductMaster!$A:$O,4,FALSE),"")</f>
        <v/>
      </c>
      <c r="H478" s="90"/>
      <c r="I478" s="123">
        <f>IFERROR(VLOOKUP(E478,ProductMaster!B:G,6,FALSE),0)</f>
        <v>0</v>
      </c>
      <c r="J478" s="123">
        <f t="shared" si="26"/>
        <v>0</v>
      </c>
      <c r="K478" s="123">
        <f t="shared" si="25"/>
        <v>0</v>
      </c>
      <c r="L478" s="91"/>
      <c r="M478" s="92"/>
      <c r="N478" s="92"/>
      <c r="O478" s="93">
        <v>0</v>
      </c>
      <c r="P478" s="86"/>
      <c r="Q478" s="82">
        <f t="shared" si="27"/>
        <v>473</v>
      </c>
    </row>
    <row r="479" spans="1:17" ht="20.25" customHeight="1">
      <c r="A479" s="85"/>
      <c r="B479" s="102"/>
      <c r="C479" s="86"/>
      <c r="D479" s="87"/>
      <c r="E479" s="88" t="str">
        <f>IFERROR(VLOOKUP(D479,ProductMaster!$A:$B,2,FALSE),"")</f>
        <v/>
      </c>
      <c r="F479" s="88" t="str">
        <f>IFERROR(VLOOKUP(D479,ProductMaster!$A:$C,3,FALSE),"")</f>
        <v/>
      </c>
      <c r="G479" s="89" t="str">
        <f>IFERROR(VLOOKUP($D479,ProductMaster!$A:$O,4,FALSE),"")</f>
        <v/>
      </c>
      <c r="H479" s="90"/>
      <c r="I479" s="123">
        <f>IFERROR(VLOOKUP(E479,ProductMaster!B:G,6,FALSE),0)</f>
        <v>0</v>
      </c>
      <c r="J479" s="123">
        <f t="shared" si="26"/>
        <v>0</v>
      </c>
      <c r="K479" s="123">
        <f t="shared" si="25"/>
        <v>0</v>
      </c>
      <c r="L479" s="91"/>
      <c r="M479" s="92"/>
      <c r="N479" s="92"/>
      <c r="O479" s="93">
        <v>0</v>
      </c>
      <c r="P479" s="86"/>
      <c r="Q479" s="82">
        <f t="shared" si="27"/>
        <v>474</v>
      </c>
    </row>
    <row r="480" spans="1:17" ht="20.25" customHeight="1">
      <c r="A480" s="85"/>
      <c r="B480" s="102"/>
      <c r="C480" s="86"/>
      <c r="D480" s="87"/>
      <c r="E480" s="88" t="str">
        <f>IFERROR(VLOOKUP(D480,ProductMaster!$A:$B,2,FALSE),"")</f>
        <v/>
      </c>
      <c r="F480" s="88" t="str">
        <f>IFERROR(VLOOKUP(D480,ProductMaster!$A:$C,3,FALSE),"")</f>
        <v/>
      </c>
      <c r="G480" s="89" t="str">
        <f>IFERROR(VLOOKUP($D480,ProductMaster!$A:$O,4,FALSE),"")</f>
        <v/>
      </c>
      <c r="H480" s="90"/>
      <c r="I480" s="123">
        <f>IFERROR(VLOOKUP(E480,ProductMaster!B:G,6,FALSE),0)</f>
        <v>0</v>
      </c>
      <c r="J480" s="123">
        <f t="shared" si="26"/>
        <v>0</v>
      </c>
      <c r="K480" s="123">
        <f t="shared" si="25"/>
        <v>0</v>
      </c>
      <c r="L480" s="91"/>
      <c r="M480" s="92"/>
      <c r="N480" s="92"/>
      <c r="O480" s="93">
        <v>0</v>
      </c>
      <c r="P480" s="86"/>
      <c r="Q480" s="82">
        <f t="shared" si="27"/>
        <v>475</v>
      </c>
    </row>
    <row r="481" spans="1:17" ht="20.25" customHeight="1">
      <c r="A481" s="85"/>
      <c r="B481" s="102"/>
      <c r="C481" s="86"/>
      <c r="D481" s="87"/>
      <c r="E481" s="88" t="str">
        <f>IFERROR(VLOOKUP(D481,ProductMaster!$A:$B,2,FALSE),"")</f>
        <v/>
      </c>
      <c r="F481" s="88" t="str">
        <f>IFERROR(VLOOKUP(D481,ProductMaster!$A:$C,3,FALSE),"")</f>
        <v/>
      </c>
      <c r="G481" s="89" t="str">
        <f>IFERROR(VLOOKUP($D481,ProductMaster!$A:$O,4,FALSE),"")</f>
        <v/>
      </c>
      <c r="H481" s="90"/>
      <c r="I481" s="123">
        <f>IFERROR(VLOOKUP(E481,ProductMaster!B:G,6,FALSE),0)</f>
        <v>0</v>
      </c>
      <c r="J481" s="123">
        <f t="shared" si="26"/>
        <v>0</v>
      </c>
      <c r="K481" s="123">
        <f t="shared" si="25"/>
        <v>0</v>
      </c>
      <c r="L481" s="91"/>
      <c r="M481" s="92"/>
      <c r="N481" s="92"/>
      <c r="O481" s="93">
        <v>0</v>
      </c>
      <c r="P481" s="86"/>
      <c r="Q481" s="82">
        <f t="shared" si="27"/>
        <v>476</v>
      </c>
    </row>
    <row r="482" spans="1:17" ht="20.25" customHeight="1">
      <c r="A482" s="85"/>
      <c r="B482" s="102"/>
      <c r="C482" s="86"/>
      <c r="D482" s="87"/>
      <c r="E482" s="88" t="str">
        <f>IFERROR(VLOOKUP(D482,ProductMaster!$A:$B,2,FALSE),"")</f>
        <v/>
      </c>
      <c r="F482" s="88" t="str">
        <f>IFERROR(VLOOKUP(D482,ProductMaster!$A:$C,3,FALSE),"")</f>
        <v/>
      </c>
      <c r="G482" s="89" t="str">
        <f>IFERROR(VLOOKUP($D482,ProductMaster!$A:$O,4,FALSE),"")</f>
        <v/>
      </c>
      <c r="H482" s="90"/>
      <c r="I482" s="123">
        <f>IFERROR(VLOOKUP(E482,ProductMaster!B:G,6,FALSE),0)</f>
        <v>0</v>
      </c>
      <c r="J482" s="123">
        <f t="shared" si="26"/>
        <v>0</v>
      </c>
      <c r="K482" s="123">
        <f t="shared" si="25"/>
        <v>0</v>
      </c>
      <c r="L482" s="91"/>
      <c r="M482" s="92"/>
      <c r="N482" s="92"/>
      <c r="O482" s="93">
        <v>0</v>
      </c>
      <c r="P482" s="86"/>
      <c r="Q482" s="82">
        <f t="shared" si="27"/>
        <v>477</v>
      </c>
    </row>
    <row r="483" spans="1:17" ht="20.25" customHeight="1">
      <c r="A483" s="85"/>
      <c r="B483" s="102"/>
      <c r="C483" s="86"/>
      <c r="D483" s="87"/>
      <c r="E483" s="88" t="str">
        <f>IFERROR(VLOOKUP(D483,ProductMaster!$A:$B,2,FALSE),"")</f>
        <v/>
      </c>
      <c r="F483" s="88" t="str">
        <f>IFERROR(VLOOKUP(D483,ProductMaster!$A:$C,3,FALSE),"")</f>
        <v/>
      </c>
      <c r="G483" s="89" t="str">
        <f>IFERROR(VLOOKUP($D483,ProductMaster!$A:$O,4,FALSE),"")</f>
        <v/>
      </c>
      <c r="H483" s="90"/>
      <c r="I483" s="123">
        <f>IFERROR(VLOOKUP(E483,ProductMaster!B:G,6,FALSE),0)</f>
        <v>0</v>
      </c>
      <c r="J483" s="123">
        <f t="shared" si="26"/>
        <v>0</v>
      </c>
      <c r="K483" s="123">
        <f t="shared" si="25"/>
        <v>0</v>
      </c>
      <c r="L483" s="91"/>
      <c r="M483" s="92"/>
      <c r="N483" s="92"/>
      <c r="O483" s="93">
        <v>0</v>
      </c>
      <c r="P483" s="86"/>
      <c r="Q483" s="82">
        <f t="shared" si="27"/>
        <v>478</v>
      </c>
    </row>
    <row r="484" spans="1:17" ht="20.25" customHeight="1">
      <c r="A484" s="85"/>
      <c r="B484" s="102"/>
      <c r="C484" s="86"/>
      <c r="D484" s="87"/>
      <c r="E484" s="88" t="str">
        <f>IFERROR(VLOOKUP(D484,ProductMaster!$A:$B,2,FALSE),"")</f>
        <v/>
      </c>
      <c r="F484" s="88" t="str">
        <f>IFERROR(VLOOKUP(D484,ProductMaster!$A:$C,3,FALSE),"")</f>
        <v/>
      </c>
      <c r="G484" s="89" t="str">
        <f>IFERROR(VLOOKUP($D484,ProductMaster!$A:$O,4,FALSE),"")</f>
        <v/>
      </c>
      <c r="H484" s="90"/>
      <c r="I484" s="123">
        <f>IFERROR(VLOOKUP(E484,ProductMaster!B:G,6,FALSE),0)</f>
        <v>0</v>
      </c>
      <c r="J484" s="123">
        <f t="shared" si="26"/>
        <v>0</v>
      </c>
      <c r="K484" s="123">
        <f t="shared" si="25"/>
        <v>0</v>
      </c>
      <c r="L484" s="91"/>
      <c r="M484" s="92"/>
      <c r="N484" s="92"/>
      <c r="O484" s="93">
        <v>0</v>
      </c>
      <c r="P484" s="86"/>
      <c r="Q484" s="82">
        <f t="shared" si="27"/>
        <v>479</v>
      </c>
    </row>
    <row r="485" spans="1:17" ht="20.25" customHeight="1">
      <c r="A485" s="85"/>
      <c r="B485" s="102"/>
      <c r="C485" s="86"/>
      <c r="D485" s="87"/>
      <c r="E485" s="88" t="str">
        <f>IFERROR(VLOOKUP(D485,ProductMaster!$A:$B,2,FALSE),"")</f>
        <v/>
      </c>
      <c r="F485" s="88" t="str">
        <f>IFERROR(VLOOKUP(D485,ProductMaster!$A:$C,3,FALSE),"")</f>
        <v/>
      </c>
      <c r="G485" s="89" t="str">
        <f>IFERROR(VLOOKUP($D485,ProductMaster!$A:$O,4,FALSE),"")</f>
        <v/>
      </c>
      <c r="H485" s="90"/>
      <c r="I485" s="123">
        <f>IFERROR(VLOOKUP(E485,ProductMaster!B:G,6,FALSE),0)</f>
        <v>0</v>
      </c>
      <c r="J485" s="123">
        <f t="shared" si="26"/>
        <v>0</v>
      </c>
      <c r="K485" s="123">
        <f t="shared" si="25"/>
        <v>0</v>
      </c>
      <c r="L485" s="91"/>
      <c r="M485" s="92"/>
      <c r="N485" s="92"/>
      <c r="O485" s="93">
        <v>0</v>
      </c>
      <c r="P485" s="86"/>
      <c r="Q485" s="82">
        <f t="shared" si="27"/>
        <v>480</v>
      </c>
    </row>
    <row r="486" spans="1:17" ht="20.25" customHeight="1">
      <c r="A486" s="85"/>
      <c r="B486" s="102"/>
      <c r="C486" s="86"/>
      <c r="D486" s="87"/>
      <c r="E486" s="88" t="str">
        <f>IFERROR(VLOOKUP(D486,ProductMaster!$A:$B,2,FALSE),"")</f>
        <v/>
      </c>
      <c r="F486" s="88" t="str">
        <f>IFERROR(VLOOKUP(D486,ProductMaster!$A:$C,3,FALSE),"")</f>
        <v/>
      </c>
      <c r="G486" s="89" t="str">
        <f>IFERROR(VLOOKUP($D486,ProductMaster!$A:$O,4,FALSE),"")</f>
        <v/>
      </c>
      <c r="H486" s="90"/>
      <c r="I486" s="123">
        <f>IFERROR(VLOOKUP(E486,ProductMaster!B:G,6,FALSE),0)</f>
        <v>0</v>
      </c>
      <c r="J486" s="123">
        <f t="shared" si="26"/>
        <v>0</v>
      </c>
      <c r="K486" s="123">
        <f t="shared" si="25"/>
        <v>0</v>
      </c>
      <c r="L486" s="91"/>
      <c r="M486" s="92"/>
      <c r="N486" s="92"/>
      <c r="O486" s="93">
        <v>0</v>
      </c>
      <c r="P486" s="86"/>
      <c r="Q486" s="82">
        <f t="shared" si="27"/>
        <v>481</v>
      </c>
    </row>
    <row r="487" spans="1:17" ht="20.25" customHeight="1">
      <c r="A487" s="85"/>
      <c r="B487" s="102"/>
      <c r="C487" s="86"/>
      <c r="D487" s="87"/>
      <c r="E487" s="88" t="str">
        <f>IFERROR(VLOOKUP(D487,ProductMaster!$A:$B,2,FALSE),"")</f>
        <v/>
      </c>
      <c r="F487" s="88" t="str">
        <f>IFERROR(VLOOKUP(D487,ProductMaster!$A:$C,3,FALSE),"")</f>
        <v/>
      </c>
      <c r="G487" s="89" t="str">
        <f>IFERROR(VLOOKUP($D487,ProductMaster!$A:$O,4,FALSE),"")</f>
        <v/>
      </c>
      <c r="H487" s="90"/>
      <c r="I487" s="123">
        <f>IFERROR(VLOOKUP(E487,ProductMaster!B:G,6,FALSE),0)</f>
        <v>0</v>
      </c>
      <c r="J487" s="123">
        <f t="shared" si="26"/>
        <v>0</v>
      </c>
      <c r="K487" s="123">
        <f t="shared" si="25"/>
        <v>0</v>
      </c>
      <c r="L487" s="91"/>
      <c r="M487" s="92"/>
      <c r="N487" s="92"/>
      <c r="O487" s="93">
        <v>0</v>
      </c>
      <c r="P487" s="86"/>
      <c r="Q487" s="82">
        <f t="shared" si="27"/>
        <v>482</v>
      </c>
    </row>
    <row r="488" spans="1:17" ht="20.25" customHeight="1">
      <c r="A488" s="85"/>
      <c r="B488" s="102"/>
      <c r="C488" s="86"/>
      <c r="D488" s="87"/>
      <c r="E488" s="88" t="str">
        <f>IFERROR(VLOOKUP(D488,ProductMaster!$A:$B,2,FALSE),"")</f>
        <v/>
      </c>
      <c r="F488" s="88" t="str">
        <f>IFERROR(VLOOKUP(D488,ProductMaster!$A:$C,3,FALSE),"")</f>
        <v/>
      </c>
      <c r="G488" s="89" t="str">
        <f>IFERROR(VLOOKUP($D488,ProductMaster!$A:$O,4,FALSE),"")</f>
        <v/>
      </c>
      <c r="H488" s="90"/>
      <c r="I488" s="123">
        <f>IFERROR(VLOOKUP(E488,ProductMaster!B:G,6,FALSE),0)</f>
        <v>0</v>
      </c>
      <c r="J488" s="123">
        <f t="shared" si="26"/>
        <v>0</v>
      </c>
      <c r="K488" s="123">
        <f t="shared" si="25"/>
        <v>0</v>
      </c>
      <c r="L488" s="91"/>
      <c r="M488" s="92"/>
      <c r="N488" s="92"/>
      <c r="O488" s="93">
        <v>0</v>
      </c>
      <c r="P488" s="86"/>
      <c r="Q488" s="82">
        <f t="shared" si="27"/>
        <v>483</v>
      </c>
    </row>
    <row r="489" spans="1:17" ht="20.25" customHeight="1">
      <c r="A489" s="85"/>
      <c r="B489" s="102"/>
      <c r="C489" s="86"/>
      <c r="D489" s="87"/>
      <c r="E489" s="88" t="str">
        <f>IFERROR(VLOOKUP(D489,ProductMaster!$A:$B,2,FALSE),"")</f>
        <v/>
      </c>
      <c r="F489" s="88" t="str">
        <f>IFERROR(VLOOKUP(D489,ProductMaster!$A:$C,3,FALSE),"")</f>
        <v/>
      </c>
      <c r="G489" s="89" t="str">
        <f>IFERROR(VLOOKUP($D489,ProductMaster!$A:$O,4,FALSE),"")</f>
        <v/>
      </c>
      <c r="H489" s="90"/>
      <c r="I489" s="123">
        <f>IFERROR(VLOOKUP(E489,ProductMaster!B:G,6,FALSE),0)</f>
        <v>0</v>
      </c>
      <c r="J489" s="123">
        <f t="shared" si="26"/>
        <v>0</v>
      </c>
      <c r="K489" s="123">
        <f t="shared" si="25"/>
        <v>0</v>
      </c>
      <c r="L489" s="91"/>
      <c r="M489" s="92"/>
      <c r="N489" s="92"/>
      <c r="O489" s="93">
        <v>0</v>
      </c>
      <c r="P489" s="86"/>
      <c r="Q489" s="82">
        <f t="shared" si="27"/>
        <v>484</v>
      </c>
    </row>
    <row r="490" spans="1:17" ht="20.25" customHeight="1">
      <c r="A490" s="85"/>
      <c r="B490" s="102"/>
      <c r="C490" s="86"/>
      <c r="D490" s="87"/>
      <c r="E490" s="88" t="str">
        <f>IFERROR(VLOOKUP(D490,ProductMaster!$A:$B,2,FALSE),"")</f>
        <v/>
      </c>
      <c r="F490" s="88" t="str">
        <f>IFERROR(VLOOKUP(D490,ProductMaster!$A:$C,3,FALSE),"")</f>
        <v/>
      </c>
      <c r="G490" s="89" t="str">
        <f>IFERROR(VLOOKUP($D490,ProductMaster!$A:$O,4,FALSE),"")</f>
        <v/>
      </c>
      <c r="H490" s="90"/>
      <c r="I490" s="123">
        <f>IFERROR(VLOOKUP(E490,ProductMaster!B:G,6,FALSE),0)</f>
        <v>0</v>
      </c>
      <c r="J490" s="123">
        <f t="shared" si="26"/>
        <v>0</v>
      </c>
      <c r="K490" s="123">
        <f t="shared" si="25"/>
        <v>0</v>
      </c>
      <c r="L490" s="91"/>
      <c r="M490" s="92"/>
      <c r="N490" s="92"/>
      <c r="O490" s="93">
        <v>0</v>
      </c>
      <c r="P490" s="86"/>
      <c r="Q490" s="82">
        <f t="shared" si="27"/>
        <v>485</v>
      </c>
    </row>
    <row r="491" spans="1:17" ht="20.25" customHeight="1">
      <c r="A491" s="85"/>
      <c r="B491" s="102"/>
      <c r="C491" s="86"/>
      <c r="D491" s="87"/>
      <c r="E491" s="88" t="str">
        <f>IFERROR(VLOOKUP(D491,ProductMaster!$A:$B,2,FALSE),"")</f>
        <v/>
      </c>
      <c r="F491" s="88" t="str">
        <f>IFERROR(VLOOKUP(D491,ProductMaster!$A:$C,3,FALSE),"")</f>
        <v/>
      </c>
      <c r="G491" s="89" t="str">
        <f>IFERROR(VLOOKUP($D491,ProductMaster!$A:$O,4,FALSE),"")</f>
        <v/>
      </c>
      <c r="H491" s="90"/>
      <c r="I491" s="123">
        <f>IFERROR(VLOOKUP(E491,ProductMaster!B:G,6,FALSE),0)</f>
        <v>0</v>
      </c>
      <c r="J491" s="123">
        <f t="shared" si="26"/>
        <v>0</v>
      </c>
      <c r="K491" s="123">
        <f t="shared" si="25"/>
        <v>0</v>
      </c>
      <c r="L491" s="91"/>
      <c r="M491" s="92"/>
      <c r="N491" s="92"/>
      <c r="O491" s="93">
        <v>0</v>
      </c>
      <c r="P491" s="86"/>
      <c r="Q491" s="82">
        <f t="shared" si="27"/>
        <v>486</v>
      </c>
    </row>
    <row r="492" spans="1:17" ht="20.25" customHeight="1">
      <c r="A492" s="85"/>
      <c r="B492" s="102"/>
      <c r="C492" s="86"/>
      <c r="D492" s="87"/>
      <c r="E492" s="88" t="str">
        <f>IFERROR(VLOOKUP(D492,ProductMaster!$A:$B,2,FALSE),"")</f>
        <v/>
      </c>
      <c r="F492" s="88" t="str">
        <f>IFERROR(VLOOKUP(D492,ProductMaster!$A:$C,3,FALSE),"")</f>
        <v/>
      </c>
      <c r="G492" s="89" t="str">
        <f>IFERROR(VLOOKUP($D492,ProductMaster!$A:$O,4,FALSE),"")</f>
        <v/>
      </c>
      <c r="H492" s="90"/>
      <c r="I492" s="123">
        <f>IFERROR(VLOOKUP(E492,ProductMaster!B:G,6,FALSE),0)</f>
        <v>0</v>
      </c>
      <c r="J492" s="123">
        <f t="shared" si="26"/>
        <v>0</v>
      </c>
      <c r="K492" s="123">
        <f t="shared" si="25"/>
        <v>0</v>
      </c>
      <c r="L492" s="91"/>
      <c r="M492" s="92"/>
      <c r="N492" s="92"/>
      <c r="O492" s="93">
        <v>0</v>
      </c>
      <c r="P492" s="86"/>
      <c r="Q492" s="82">
        <f t="shared" si="27"/>
        <v>487</v>
      </c>
    </row>
    <row r="493" spans="1:17" ht="20.25" customHeight="1">
      <c r="A493" s="85"/>
      <c r="B493" s="102"/>
      <c r="C493" s="86"/>
      <c r="D493" s="87"/>
      <c r="E493" s="88" t="str">
        <f>IFERROR(VLOOKUP(D493,ProductMaster!$A:$B,2,FALSE),"")</f>
        <v/>
      </c>
      <c r="F493" s="88" t="str">
        <f>IFERROR(VLOOKUP(D493,ProductMaster!$A:$C,3,FALSE),"")</f>
        <v/>
      </c>
      <c r="G493" s="89" t="str">
        <f>IFERROR(VLOOKUP($D493,ProductMaster!$A:$O,4,FALSE),"")</f>
        <v/>
      </c>
      <c r="H493" s="90"/>
      <c r="I493" s="123">
        <f>IFERROR(VLOOKUP(E493,ProductMaster!B:G,6,FALSE),0)</f>
        <v>0</v>
      </c>
      <c r="J493" s="123">
        <f t="shared" si="26"/>
        <v>0</v>
      </c>
      <c r="K493" s="123">
        <f t="shared" si="25"/>
        <v>0</v>
      </c>
      <c r="L493" s="91"/>
      <c r="M493" s="92"/>
      <c r="N493" s="92"/>
      <c r="O493" s="93">
        <v>0</v>
      </c>
      <c r="P493" s="86"/>
      <c r="Q493" s="82">
        <f t="shared" si="27"/>
        <v>488</v>
      </c>
    </row>
    <row r="494" spans="1:17" ht="20.25" customHeight="1">
      <c r="A494" s="85"/>
      <c r="B494" s="102"/>
      <c r="C494" s="86"/>
      <c r="D494" s="87"/>
      <c r="E494" s="88" t="str">
        <f>IFERROR(VLOOKUP(D494,ProductMaster!$A:$B,2,FALSE),"")</f>
        <v/>
      </c>
      <c r="F494" s="88" t="str">
        <f>IFERROR(VLOOKUP(D494,ProductMaster!$A:$C,3,FALSE),"")</f>
        <v/>
      </c>
      <c r="G494" s="89" t="str">
        <f>IFERROR(VLOOKUP($D494,ProductMaster!$A:$O,4,FALSE),"")</f>
        <v/>
      </c>
      <c r="H494" s="90"/>
      <c r="I494" s="123">
        <f>IFERROR(VLOOKUP(E494,ProductMaster!B:G,6,FALSE),0)</f>
        <v>0</v>
      </c>
      <c r="J494" s="123">
        <f t="shared" si="26"/>
        <v>0</v>
      </c>
      <c r="K494" s="123">
        <f t="shared" si="25"/>
        <v>0</v>
      </c>
      <c r="L494" s="91"/>
      <c r="M494" s="92"/>
      <c r="N494" s="92"/>
      <c r="O494" s="93">
        <v>0</v>
      </c>
      <c r="P494" s="86"/>
      <c r="Q494" s="82">
        <f t="shared" si="27"/>
        <v>489</v>
      </c>
    </row>
    <row r="495" spans="1:17" ht="20.25" customHeight="1">
      <c r="A495" s="85"/>
      <c r="B495" s="102"/>
      <c r="C495" s="86"/>
      <c r="D495" s="87"/>
      <c r="E495" s="88" t="str">
        <f>IFERROR(VLOOKUP(D495,ProductMaster!$A:$B,2,FALSE),"")</f>
        <v/>
      </c>
      <c r="F495" s="88" t="str">
        <f>IFERROR(VLOOKUP(D495,ProductMaster!$A:$C,3,FALSE),"")</f>
        <v/>
      </c>
      <c r="G495" s="89" t="str">
        <f>IFERROR(VLOOKUP($D495,ProductMaster!$A:$O,4,FALSE),"")</f>
        <v/>
      </c>
      <c r="H495" s="90"/>
      <c r="I495" s="123">
        <f>IFERROR(VLOOKUP(E495,ProductMaster!B:G,6,FALSE),0)</f>
        <v>0</v>
      </c>
      <c r="J495" s="123">
        <f t="shared" si="26"/>
        <v>0</v>
      </c>
      <c r="K495" s="123">
        <f t="shared" si="25"/>
        <v>0</v>
      </c>
      <c r="L495" s="91"/>
      <c r="M495" s="92"/>
      <c r="N495" s="92"/>
      <c r="O495" s="93">
        <v>0</v>
      </c>
      <c r="P495" s="86"/>
      <c r="Q495" s="82">
        <f t="shared" si="27"/>
        <v>490</v>
      </c>
    </row>
    <row r="496" spans="1:17" ht="20.25" customHeight="1">
      <c r="A496" s="85"/>
      <c r="B496" s="102"/>
      <c r="C496" s="86"/>
      <c r="D496" s="87"/>
      <c r="E496" s="88" t="str">
        <f>IFERROR(VLOOKUP(D496,ProductMaster!$A:$B,2,FALSE),"")</f>
        <v/>
      </c>
      <c r="F496" s="88" t="str">
        <f>IFERROR(VLOOKUP(D496,ProductMaster!$A:$C,3,FALSE),"")</f>
        <v/>
      </c>
      <c r="G496" s="89" t="str">
        <f>IFERROR(VLOOKUP($D496,ProductMaster!$A:$O,4,FALSE),"")</f>
        <v/>
      </c>
      <c r="H496" s="90"/>
      <c r="I496" s="123">
        <f>IFERROR(VLOOKUP(E496,ProductMaster!B:G,6,FALSE),0)</f>
        <v>0</v>
      </c>
      <c r="J496" s="123">
        <f t="shared" si="26"/>
        <v>0</v>
      </c>
      <c r="K496" s="123">
        <f t="shared" si="25"/>
        <v>0</v>
      </c>
      <c r="L496" s="91"/>
      <c r="M496" s="92"/>
      <c r="N496" s="92"/>
      <c r="O496" s="93">
        <v>0</v>
      </c>
      <c r="P496" s="86"/>
      <c r="Q496" s="82">
        <f t="shared" si="27"/>
        <v>491</v>
      </c>
    </row>
    <row r="497" spans="1:17" ht="20.25" customHeight="1">
      <c r="A497" s="85"/>
      <c r="B497" s="102"/>
      <c r="C497" s="86"/>
      <c r="D497" s="87"/>
      <c r="E497" s="88" t="str">
        <f>IFERROR(VLOOKUP(D497,ProductMaster!$A:$B,2,FALSE),"")</f>
        <v/>
      </c>
      <c r="F497" s="88" t="str">
        <f>IFERROR(VLOOKUP(D497,ProductMaster!$A:$C,3,FALSE),"")</f>
        <v/>
      </c>
      <c r="G497" s="89" t="str">
        <f>IFERROR(VLOOKUP($D497,ProductMaster!$A:$O,4,FALSE),"")</f>
        <v/>
      </c>
      <c r="H497" s="90"/>
      <c r="I497" s="123">
        <f>IFERROR(VLOOKUP(E497,ProductMaster!B:G,6,FALSE),0)</f>
        <v>0</v>
      </c>
      <c r="J497" s="123">
        <f t="shared" si="26"/>
        <v>0</v>
      </c>
      <c r="K497" s="123">
        <f t="shared" si="25"/>
        <v>0</v>
      </c>
      <c r="L497" s="91"/>
      <c r="M497" s="92"/>
      <c r="N497" s="92"/>
      <c r="O497" s="93">
        <v>0</v>
      </c>
      <c r="P497" s="86"/>
      <c r="Q497" s="82">
        <f t="shared" si="27"/>
        <v>492</v>
      </c>
    </row>
    <row r="498" spans="1:17" ht="20.25" customHeight="1">
      <c r="A498" s="85"/>
      <c r="B498" s="102"/>
      <c r="C498" s="86"/>
      <c r="D498" s="87"/>
      <c r="E498" s="88" t="str">
        <f>IFERROR(VLOOKUP(D498,ProductMaster!$A:$B,2,FALSE),"")</f>
        <v/>
      </c>
      <c r="F498" s="88" t="str">
        <f>IFERROR(VLOOKUP(D498,ProductMaster!$A:$C,3,FALSE),"")</f>
        <v/>
      </c>
      <c r="G498" s="89" t="str">
        <f>IFERROR(VLOOKUP($D498,ProductMaster!$A:$O,4,FALSE),"")</f>
        <v/>
      </c>
      <c r="H498" s="90"/>
      <c r="I498" s="123">
        <f>IFERROR(VLOOKUP(E498,ProductMaster!B:G,6,FALSE),0)</f>
        <v>0</v>
      </c>
      <c r="J498" s="123">
        <f t="shared" si="26"/>
        <v>0</v>
      </c>
      <c r="K498" s="123">
        <f t="shared" si="25"/>
        <v>0</v>
      </c>
      <c r="L498" s="91"/>
      <c r="M498" s="92"/>
      <c r="N498" s="92"/>
      <c r="O498" s="93">
        <v>0</v>
      </c>
      <c r="P498" s="86"/>
      <c r="Q498" s="82">
        <f t="shared" si="27"/>
        <v>493</v>
      </c>
    </row>
    <row r="499" spans="1:17" ht="20.25" customHeight="1">
      <c r="A499" s="85"/>
      <c r="B499" s="102"/>
      <c r="C499" s="86"/>
      <c r="D499" s="87"/>
      <c r="E499" s="88" t="str">
        <f>IFERROR(VLOOKUP(D499,ProductMaster!$A:$B,2,FALSE),"")</f>
        <v/>
      </c>
      <c r="F499" s="88" t="str">
        <f>IFERROR(VLOOKUP(D499,ProductMaster!$A:$C,3,FALSE),"")</f>
        <v/>
      </c>
      <c r="G499" s="89" t="str">
        <f>IFERROR(VLOOKUP($D499,ProductMaster!$A:$O,4,FALSE),"")</f>
        <v/>
      </c>
      <c r="H499" s="90"/>
      <c r="I499" s="123">
        <f>IFERROR(VLOOKUP(E499,ProductMaster!B:G,6,FALSE),0)</f>
        <v>0</v>
      </c>
      <c r="J499" s="123">
        <f t="shared" si="26"/>
        <v>0</v>
      </c>
      <c r="K499" s="123">
        <f t="shared" si="25"/>
        <v>0</v>
      </c>
      <c r="L499" s="91"/>
      <c r="M499" s="92"/>
      <c r="N499" s="92"/>
      <c r="O499" s="93">
        <v>0</v>
      </c>
      <c r="P499" s="86"/>
      <c r="Q499" s="82">
        <f t="shared" si="27"/>
        <v>494</v>
      </c>
    </row>
    <row r="500" spans="1:17" ht="20.25" customHeight="1">
      <c r="A500" s="85"/>
      <c r="B500" s="102"/>
      <c r="C500" s="86"/>
      <c r="D500" s="87"/>
      <c r="E500" s="88" t="str">
        <f>IFERROR(VLOOKUP(D500,ProductMaster!$A:$B,2,FALSE),"")</f>
        <v/>
      </c>
      <c r="F500" s="88" t="str">
        <f>IFERROR(VLOOKUP(D500,ProductMaster!$A:$C,3,FALSE),"")</f>
        <v/>
      </c>
      <c r="G500" s="89" t="str">
        <f>IFERROR(VLOOKUP($D500,ProductMaster!$A:$O,4,FALSE),"")</f>
        <v/>
      </c>
      <c r="H500" s="90"/>
      <c r="I500" s="123">
        <f>IFERROR(VLOOKUP(E500,ProductMaster!B:G,6,FALSE),0)</f>
        <v>0</v>
      </c>
      <c r="J500" s="123">
        <f t="shared" si="26"/>
        <v>0</v>
      </c>
      <c r="K500" s="123">
        <f t="shared" si="25"/>
        <v>0</v>
      </c>
      <c r="L500" s="91"/>
      <c r="M500" s="92"/>
      <c r="N500" s="92"/>
      <c r="O500" s="93">
        <v>0</v>
      </c>
      <c r="P500" s="86"/>
      <c r="Q500" s="82">
        <f t="shared" si="27"/>
        <v>495</v>
      </c>
    </row>
  </sheetData>
  <sheetProtection formatCells="0" insertRows="0"/>
  <autoFilter ref="A1:BM500" xr:uid="{8D14E8B1-A3C9-47E9-A89A-0615C80E3BFF}"/>
  <conditionalFormatting sqref="A2:A500">
    <cfRule type="expression" dxfId="84" priority="3">
      <formula>#REF!&lt;&gt;""</formula>
    </cfRule>
    <cfRule type="expression" dxfId="83" priority="4">
      <formula>OR(#REF!="y",#REF!="sj",#REF!="ap")</formula>
    </cfRule>
  </conditionalFormatting>
  <conditionalFormatting sqref="B2:B42">
    <cfRule type="expression" dxfId="82" priority="5">
      <formula>#REF!&lt;&gt;""</formula>
    </cfRule>
    <cfRule type="expression" dxfId="81" priority="6">
      <formula>OR(#REF!="y",#REF!="sj",#REF!="ap")</formula>
    </cfRule>
  </conditionalFormatting>
  <conditionalFormatting sqref="B42:B46 E155:O500 B174:C500">
    <cfRule type="expression" dxfId="80" priority="132">
      <formula>OR(#REF!="y",#REF!="sj",#REF!="ap")</formula>
    </cfRule>
  </conditionalFormatting>
  <conditionalFormatting sqref="B42:B46 E155:P500 B174:C500">
    <cfRule type="expression" dxfId="79" priority="131">
      <formula>#REF!&lt;&gt;""</formula>
    </cfRule>
  </conditionalFormatting>
  <conditionalFormatting sqref="B46:B173">
    <cfRule type="expression" dxfId="78" priority="55">
      <formula>#REF!&lt;&gt;""</formula>
    </cfRule>
    <cfRule type="expression" dxfId="77" priority="56">
      <formula>OR(#REF!="y",#REF!="sj",#REF!="ap")</formula>
    </cfRule>
  </conditionalFormatting>
  <conditionalFormatting sqref="C3:C173">
    <cfRule type="expression" dxfId="76" priority="29">
      <formula>#REF!&lt;&gt;""</formula>
    </cfRule>
    <cfRule type="expression" dxfId="75" priority="30">
      <formula>OR(#REF!="y",#REF!="sj",#REF!="ap")</formula>
    </cfRule>
  </conditionalFormatting>
  <conditionalFormatting sqref="C2:N2">
    <cfRule type="expression" dxfId="74" priority="103">
      <formula>#REF!&lt;&gt;""</formula>
    </cfRule>
    <cfRule type="expression" dxfId="73" priority="104">
      <formula>OR(#REF!="y",#REF!="sj",#REF!="ap")</formula>
    </cfRule>
  </conditionalFormatting>
  <conditionalFormatting sqref="D9:D42">
    <cfRule type="expression" dxfId="72" priority="81">
      <formula>#REF!&lt;&gt;""</formula>
    </cfRule>
    <cfRule type="expression" dxfId="71" priority="82">
      <formula>OR(#REF!="y",#REF!="sj",#REF!="ap")</formula>
    </cfRule>
  </conditionalFormatting>
  <conditionalFormatting sqref="D42:D46">
    <cfRule type="expression" dxfId="70" priority="121">
      <formula>#REF!&lt;&gt;""</formula>
    </cfRule>
    <cfRule type="expression" dxfId="69" priority="122">
      <formula>OR(#REF!="y",#REF!="sj",#REF!="ap")</formula>
    </cfRule>
  </conditionalFormatting>
  <conditionalFormatting sqref="D46:D500">
    <cfRule type="expression" dxfId="68" priority="57">
      <formula>#REF!&lt;&gt;""</formula>
    </cfRule>
    <cfRule type="expression" dxfId="67" priority="58">
      <formula>OR(#REF!="y",#REF!="sj",#REF!="ap")</formula>
    </cfRule>
  </conditionalFormatting>
  <conditionalFormatting sqref="D3:H8">
    <cfRule type="expression" dxfId="66" priority="1">
      <formula>#REF!&lt;&gt;""</formula>
    </cfRule>
    <cfRule type="expression" dxfId="65" priority="2">
      <formula>OR(#REF!="y",#REF!="sj",#REF!="ap")</formula>
    </cfRule>
  </conditionalFormatting>
  <conditionalFormatting sqref="E9:H18">
    <cfRule type="expression" dxfId="64" priority="125">
      <formula>#REF!&lt;&gt;""</formula>
    </cfRule>
    <cfRule type="expression" dxfId="63" priority="126">
      <formula>OR(#REF!="y",#REF!="sj",#REF!="ap")</formula>
    </cfRule>
  </conditionalFormatting>
  <conditionalFormatting sqref="E19:L154">
    <cfRule type="expression" dxfId="62" priority="113">
      <formula>#REF!&lt;&gt;""</formula>
    </cfRule>
    <cfRule type="expression" dxfId="61" priority="114">
      <formula>OR(#REF!="y",#REF!="sj",#REF!="ap")</formula>
    </cfRule>
  </conditionalFormatting>
  <conditionalFormatting sqref="I3:L18">
    <cfRule type="expression" dxfId="60" priority="117">
      <formula>#REF!&lt;&gt;""</formula>
    </cfRule>
    <cfRule type="expression" dxfId="59" priority="118">
      <formula>OR(#REF!="y",#REF!="sj",#REF!="ap")</formula>
    </cfRule>
  </conditionalFormatting>
  <conditionalFormatting sqref="M3:N154">
    <cfRule type="expression" dxfId="58" priority="27">
      <formula>#REF!&lt;&gt;""</formula>
    </cfRule>
    <cfRule type="expression" dxfId="57" priority="28">
      <formula>OR(#REF!="y",#REF!="sj",#REF!="ap")</formula>
    </cfRule>
  </conditionalFormatting>
  <conditionalFormatting sqref="O2:O154">
    <cfRule type="expression" dxfId="56" priority="66">
      <formula>OR(#REF!="y",#REF!="sj",#REF!="ap")</formula>
    </cfRule>
  </conditionalFormatting>
  <conditionalFormatting sqref="O2:P154">
    <cfRule type="expression" dxfId="55" priority="43">
      <formula>#REF!&lt;&gt;""</formula>
    </cfRule>
  </conditionalFormatting>
  <conditionalFormatting sqref="S2 S4 S6 S8 S10 S12 S14 S16 S18 S20 S22 S24 S26 S28 S30 S32 S34 S36 S38 S40 S42 S44 S46 S48 S50 S52 S54 S56 S58 S60 S62">
    <cfRule type="expression" dxfId="54" priority="111">
      <formula>#REF!&lt;&gt;""</formula>
    </cfRule>
    <cfRule type="expression" dxfId="53" priority="112">
      <formula>OR(#REF!="y",#REF!="sj",#REF!="ap")</formula>
    </cfRule>
  </conditionalFormatting>
  <dataValidations count="2">
    <dataValidation type="list" allowBlank="1" showInputMessage="1" sqref="N2:N500" xr:uid="{8FBA3ACE-331C-4DA7-9B3F-7612F671716C}">
      <formula1>User</formula1>
    </dataValidation>
    <dataValidation type="list" allowBlank="1" showInputMessage="1" sqref="M2:M500" xr:uid="{5EDB8C68-47C5-4945-A564-4E925BD7608A}">
      <formula1>ReceiveType</formula1>
    </dataValidation>
  </dataValidations>
  <pageMargins left="0.45763888888888898" right="0.33611111111111103" top="0.39861111111111103" bottom="0.23055555555555601" header="0.25972222222222202" footer="9.1666666666666702E-2"/>
  <pageSetup paperSize="9" firstPageNumber="0" pageOrder="overThenDown" orientation="portrait" horizontalDpi="300" verticalDpi="300" r:id="rId1"/>
  <headerFooter>
    <oddHeader>&amp;C&amp;"Arial,ปกติ"&amp;10&amp;A</oddHeader>
    <oddFooter>&amp;C&amp;"Arial,ปกติ"&amp;10Page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C7362D-5917-4302-A5B8-762CA337C817}">
          <x14:formula1>
            <xm:f>OtherMaster!$E:$E</xm:f>
          </x14:formula1>
          <xm:sqref>P2:P401</xm:sqref>
        </x14:dataValidation>
        <x14:dataValidation type="list" allowBlank="1" showInputMessage="1" xr:uid="{F5923C1B-EC4E-45C4-9B96-97DF8A4AB6C8}">
          <x14:formula1>
            <xm:f>Cus!$A:$A</xm:f>
          </x14:formula1>
          <xm:sqref>C174:C500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F5C5-7804-4B3A-8EE3-26A677CC2F6D}">
  <sheetPr>
    <tabColor rgb="FFFFFF00"/>
  </sheetPr>
  <dimension ref="A1:G129"/>
  <sheetViews>
    <sheetView tabSelected="1" workbookViewId="0">
      <pane xSplit="2" ySplit="1" topLeftCell="C105" activePane="bottomRight" state="frozen"/>
      <selection pane="topRight" activeCell="C1" sqref="C1"/>
      <selection pane="bottomLeft" activeCell="A2" sqref="A2"/>
      <selection pane="bottomRight" activeCell="D128" sqref="D128"/>
    </sheetView>
  </sheetViews>
  <sheetFormatPr defaultColWidth="9" defaultRowHeight="12.75"/>
  <cols>
    <col min="1" max="1" width="10" style="55" customWidth="1"/>
    <col min="2" max="2" width="24.5" style="51" customWidth="1"/>
    <col min="3" max="3" width="88.625" style="51" customWidth="1"/>
    <col min="4" max="4" width="35" style="51" customWidth="1"/>
    <col min="5" max="5" width="16" style="52" customWidth="1"/>
    <col min="6" max="6" width="13.5" style="53" customWidth="1"/>
    <col min="7" max="16384" width="9" style="51"/>
  </cols>
  <sheetData>
    <row r="1" spans="1:6" s="54" customFormat="1">
      <c r="A1" s="54" t="s">
        <v>0</v>
      </c>
      <c r="B1" s="54" t="s">
        <v>1</v>
      </c>
      <c r="C1" s="54" t="s">
        <v>2</v>
      </c>
      <c r="D1" s="54" t="s">
        <v>3</v>
      </c>
      <c r="E1" s="56" t="s">
        <v>4</v>
      </c>
      <c r="F1" s="57" t="s">
        <v>5</v>
      </c>
    </row>
    <row r="2" spans="1:6">
      <c r="A2" s="55" t="s">
        <v>6</v>
      </c>
      <c r="B2" s="51" t="s">
        <v>125</v>
      </c>
      <c r="C2" s="51" t="s">
        <v>125</v>
      </c>
      <c r="D2" s="51" t="s">
        <v>1719</v>
      </c>
      <c r="E2" s="52" t="s">
        <v>1719</v>
      </c>
      <c r="F2" s="53" t="s">
        <v>1719</v>
      </c>
    </row>
    <row r="3" spans="1:6">
      <c r="A3" s="55" t="s">
        <v>7</v>
      </c>
      <c r="B3" s="51" t="s">
        <v>1718</v>
      </c>
      <c r="C3" s="51" t="s">
        <v>1719</v>
      </c>
      <c r="E3" s="52" t="s">
        <v>1719</v>
      </c>
      <c r="F3" s="53" t="s">
        <v>1719</v>
      </c>
    </row>
    <row r="4" spans="1:6">
      <c r="A4" s="55" t="s">
        <v>8</v>
      </c>
      <c r="B4" s="51" t="s">
        <v>1720</v>
      </c>
      <c r="C4" s="51" t="s">
        <v>1719</v>
      </c>
      <c r="E4" s="52" t="s">
        <v>1719</v>
      </c>
      <c r="F4" s="53">
        <v>819051415</v>
      </c>
    </row>
    <row r="5" spans="1:6">
      <c r="A5" s="55" t="s">
        <v>9</v>
      </c>
      <c r="B5" s="51" t="s">
        <v>1721</v>
      </c>
      <c r="C5" s="51" t="s">
        <v>1719</v>
      </c>
      <c r="E5" s="52" t="s">
        <v>1719</v>
      </c>
      <c r="F5" s="53">
        <v>879977568</v>
      </c>
    </row>
    <row r="6" spans="1:6">
      <c r="A6" s="55" t="s">
        <v>10</v>
      </c>
      <c r="B6" s="51" t="s">
        <v>1722</v>
      </c>
      <c r="C6" s="51" t="s">
        <v>1723</v>
      </c>
      <c r="E6" s="52">
        <v>105535053715</v>
      </c>
      <c r="F6" s="53">
        <v>28640521</v>
      </c>
    </row>
    <row r="7" spans="1:6">
      <c r="A7" s="55" t="s">
        <v>11</v>
      </c>
      <c r="B7" s="51" t="s">
        <v>1724</v>
      </c>
      <c r="C7" s="51" t="s">
        <v>1725</v>
      </c>
      <c r="E7" s="52">
        <v>105559117802</v>
      </c>
      <c r="F7" s="53">
        <v>25871249</v>
      </c>
    </row>
    <row r="8" spans="1:6">
      <c r="A8" s="55" t="s">
        <v>12</v>
      </c>
      <c r="B8" s="51" t="s">
        <v>1726</v>
      </c>
      <c r="C8" s="51" t="s">
        <v>1727</v>
      </c>
      <c r="D8" s="51" t="s">
        <v>1727</v>
      </c>
      <c r="E8" s="52" t="s">
        <v>1719</v>
      </c>
      <c r="F8" s="53">
        <v>816329099</v>
      </c>
    </row>
    <row r="9" spans="1:6">
      <c r="A9" s="55" t="s">
        <v>13</v>
      </c>
      <c r="B9" s="51" t="s">
        <v>1728</v>
      </c>
      <c r="C9" s="51" t="s">
        <v>1719</v>
      </c>
      <c r="E9" s="52" t="s">
        <v>1719</v>
      </c>
      <c r="F9" s="53">
        <v>818203086</v>
      </c>
    </row>
    <row r="10" spans="1:6">
      <c r="A10" s="55" t="s">
        <v>14</v>
      </c>
      <c r="B10" s="51" t="s">
        <v>1729</v>
      </c>
      <c r="C10" s="51" t="s">
        <v>1730</v>
      </c>
      <c r="E10" s="52">
        <v>735545002298</v>
      </c>
      <c r="F10" s="53">
        <v>24202432</v>
      </c>
    </row>
    <row r="11" spans="1:6">
      <c r="A11" s="55" t="s">
        <v>15</v>
      </c>
      <c r="B11" s="51" t="s">
        <v>1731</v>
      </c>
      <c r="C11" s="51" t="s">
        <v>1719</v>
      </c>
      <c r="D11" s="51" t="s">
        <v>1719</v>
      </c>
      <c r="E11" s="52" t="s">
        <v>1719</v>
      </c>
      <c r="F11" s="53">
        <v>854885769</v>
      </c>
    </row>
    <row r="12" spans="1:6">
      <c r="A12" s="55" t="s">
        <v>16</v>
      </c>
      <c r="B12" s="51" t="s">
        <v>1732</v>
      </c>
      <c r="C12" s="51" t="s">
        <v>1719</v>
      </c>
      <c r="D12" s="51" t="s">
        <v>1719</v>
      </c>
      <c r="E12" s="52" t="s">
        <v>1719</v>
      </c>
      <c r="F12" s="53">
        <v>892419952</v>
      </c>
    </row>
    <row r="13" spans="1:6">
      <c r="A13" s="55" t="s">
        <v>17</v>
      </c>
      <c r="B13" s="51" t="s">
        <v>1733</v>
      </c>
      <c r="C13" s="51" t="s">
        <v>1734</v>
      </c>
      <c r="D13" s="51" t="s">
        <v>1735</v>
      </c>
      <c r="E13" s="52">
        <v>655564002037</v>
      </c>
      <c r="F13" s="53">
        <v>833314309</v>
      </c>
    </row>
    <row r="14" spans="1:6">
      <c r="A14" s="55" t="s">
        <v>18</v>
      </c>
      <c r="B14" s="51" t="s">
        <v>1736</v>
      </c>
      <c r="C14" s="51" t="s">
        <v>1719</v>
      </c>
      <c r="D14" s="51" t="s">
        <v>1719</v>
      </c>
      <c r="E14" s="52" t="s">
        <v>1719</v>
      </c>
      <c r="F14" s="53">
        <v>636670556</v>
      </c>
    </row>
    <row r="15" spans="1:6">
      <c r="A15" s="55" t="s">
        <v>19</v>
      </c>
      <c r="B15" s="51" t="s">
        <v>1737</v>
      </c>
      <c r="C15" s="51" t="s">
        <v>1719</v>
      </c>
      <c r="D15" s="51" t="s">
        <v>1719</v>
      </c>
      <c r="E15" s="52" t="s">
        <v>1719</v>
      </c>
      <c r="F15" s="53">
        <v>959099974</v>
      </c>
    </row>
    <row r="16" spans="1:6">
      <c r="A16" s="55" t="s">
        <v>20</v>
      </c>
      <c r="B16" s="51" t="s">
        <v>1738</v>
      </c>
      <c r="C16" s="51" t="s">
        <v>1719</v>
      </c>
      <c r="D16" s="51" t="s">
        <v>1719</v>
      </c>
      <c r="E16" s="52" t="s">
        <v>1719</v>
      </c>
      <c r="F16" s="53">
        <v>890433537</v>
      </c>
    </row>
    <row r="17" spans="1:6">
      <c r="A17" s="55" t="s">
        <v>21</v>
      </c>
      <c r="B17" s="51" t="s">
        <v>1739</v>
      </c>
      <c r="C17" s="51" t="s">
        <v>1719</v>
      </c>
      <c r="D17" s="51" t="s">
        <v>1719</v>
      </c>
      <c r="E17" s="52" t="s">
        <v>1719</v>
      </c>
      <c r="F17" s="53">
        <v>984891515</v>
      </c>
    </row>
    <row r="18" spans="1:6">
      <c r="A18" s="55" t="s">
        <v>22</v>
      </c>
      <c r="B18" s="51" t="s">
        <v>1740</v>
      </c>
      <c r="C18" s="51" t="s">
        <v>1741</v>
      </c>
      <c r="E18" s="52">
        <v>1100700616737</v>
      </c>
      <c r="F18" s="53">
        <v>870925700</v>
      </c>
    </row>
    <row r="19" spans="1:6">
      <c r="A19" s="55" t="s">
        <v>23</v>
      </c>
      <c r="B19" s="51" t="s">
        <v>1742</v>
      </c>
      <c r="C19" s="51" t="s">
        <v>1719</v>
      </c>
      <c r="D19" s="51" t="s">
        <v>1719</v>
      </c>
      <c r="E19" s="52" t="s">
        <v>1719</v>
      </c>
      <c r="F19" s="53">
        <v>814444651</v>
      </c>
    </row>
    <row r="20" spans="1:6">
      <c r="A20" s="55" t="s">
        <v>24</v>
      </c>
      <c r="B20" s="51" t="s">
        <v>1743</v>
      </c>
      <c r="C20" s="51" t="s">
        <v>1719</v>
      </c>
      <c r="D20" s="51" t="s">
        <v>1719</v>
      </c>
      <c r="E20" s="52" t="s">
        <v>1719</v>
      </c>
      <c r="F20" s="53">
        <v>818303794</v>
      </c>
    </row>
    <row r="21" spans="1:6">
      <c r="A21" s="55" t="s">
        <v>25</v>
      </c>
      <c r="B21" s="51" t="s">
        <v>1744</v>
      </c>
      <c r="C21" s="51" t="s">
        <v>1719</v>
      </c>
      <c r="D21" s="51" t="s">
        <v>1719</v>
      </c>
      <c r="E21" s="52" t="s">
        <v>1719</v>
      </c>
      <c r="F21" s="53">
        <v>820414218</v>
      </c>
    </row>
    <row r="22" spans="1:6">
      <c r="A22" s="55" t="s">
        <v>26</v>
      </c>
      <c r="B22" s="51" t="s">
        <v>1745</v>
      </c>
      <c r="C22" s="51" t="s">
        <v>1748</v>
      </c>
      <c r="D22" s="51" t="s">
        <v>1719</v>
      </c>
      <c r="E22" s="52" t="s">
        <v>1719</v>
      </c>
      <c r="F22" s="53">
        <v>851434598</v>
      </c>
    </row>
    <row r="23" spans="1:6">
      <c r="A23" s="55" t="s">
        <v>27</v>
      </c>
      <c r="B23" s="51" t="s">
        <v>1746</v>
      </c>
      <c r="C23" s="51" t="s">
        <v>1747</v>
      </c>
      <c r="D23" s="51" t="s">
        <v>1719</v>
      </c>
      <c r="E23" s="52" t="s">
        <v>1719</v>
      </c>
      <c r="F23" s="53">
        <v>950909969</v>
      </c>
    </row>
    <row r="24" spans="1:6">
      <c r="A24" s="55" t="s">
        <v>28</v>
      </c>
      <c r="B24" s="51" t="s">
        <v>1749</v>
      </c>
      <c r="C24" s="51" t="s">
        <v>1719</v>
      </c>
      <c r="D24" s="51" t="s">
        <v>1719</v>
      </c>
      <c r="E24" s="52" t="s">
        <v>1719</v>
      </c>
      <c r="F24" s="53">
        <v>905645554</v>
      </c>
    </row>
    <row r="25" spans="1:6">
      <c r="A25" s="55" t="s">
        <v>29</v>
      </c>
      <c r="B25" s="51" t="s">
        <v>1750</v>
      </c>
      <c r="C25" s="51" t="s">
        <v>1719</v>
      </c>
      <c r="D25" s="51" t="s">
        <v>1719</v>
      </c>
      <c r="F25" s="53">
        <v>902873599</v>
      </c>
    </row>
    <row r="26" spans="1:6">
      <c r="A26" s="55" t="s">
        <v>30</v>
      </c>
      <c r="B26" s="51" t="s">
        <v>1751</v>
      </c>
      <c r="C26" s="51" t="s">
        <v>1719</v>
      </c>
      <c r="D26" s="51" t="s">
        <v>1719</v>
      </c>
      <c r="E26" s="52" t="s">
        <v>1719</v>
      </c>
      <c r="F26" s="53">
        <v>815321017</v>
      </c>
    </row>
    <row r="27" spans="1:6">
      <c r="A27" s="55" t="s">
        <v>31</v>
      </c>
      <c r="B27" s="51" t="s">
        <v>1752</v>
      </c>
      <c r="C27" s="51" t="s">
        <v>1719</v>
      </c>
      <c r="D27" s="51" t="s">
        <v>1719</v>
      </c>
      <c r="E27" s="52" t="s">
        <v>1719</v>
      </c>
      <c r="F27" s="53">
        <v>646396535</v>
      </c>
    </row>
    <row r="28" spans="1:6">
      <c r="A28" s="55" t="s">
        <v>32</v>
      </c>
      <c r="B28" s="51" t="s">
        <v>1753</v>
      </c>
      <c r="C28" s="51" t="s">
        <v>1719</v>
      </c>
      <c r="D28" s="51" t="s">
        <v>1719</v>
      </c>
      <c r="E28" s="52" t="s">
        <v>1719</v>
      </c>
      <c r="F28" s="53">
        <v>814712558</v>
      </c>
    </row>
    <row r="29" spans="1:6">
      <c r="A29" s="55" t="s">
        <v>33</v>
      </c>
      <c r="B29" s="51" t="s">
        <v>1754</v>
      </c>
      <c r="C29" s="51" t="s">
        <v>1719</v>
      </c>
      <c r="D29" s="51" t="s">
        <v>1719</v>
      </c>
      <c r="E29" s="52" t="s">
        <v>1719</v>
      </c>
      <c r="F29" s="53">
        <v>857982464</v>
      </c>
    </row>
    <row r="30" spans="1:6">
      <c r="A30" s="55" t="s">
        <v>34</v>
      </c>
      <c r="B30" s="51" t="s">
        <v>1755</v>
      </c>
      <c r="C30" s="51" t="s">
        <v>1719</v>
      </c>
      <c r="D30" s="51" t="s">
        <v>1719</v>
      </c>
      <c r="E30" s="52" t="s">
        <v>1719</v>
      </c>
      <c r="F30" s="53">
        <v>819040910</v>
      </c>
    </row>
    <row r="31" spans="1:6">
      <c r="A31" s="55" t="s">
        <v>35</v>
      </c>
      <c r="B31" s="51" t="s">
        <v>1756</v>
      </c>
      <c r="C31" s="51" t="s">
        <v>1757</v>
      </c>
      <c r="D31" s="51" t="s">
        <v>1758</v>
      </c>
      <c r="E31" s="52">
        <v>105565066777</v>
      </c>
      <c r="F31" s="53">
        <v>925656325</v>
      </c>
    </row>
    <row r="32" spans="1:6">
      <c r="A32" s="55" t="s">
        <v>36</v>
      </c>
      <c r="B32" s="51" t="s">
        <v>1759</v>
      </c>
      <c r="C32" s="51" t="s">
        <v>1719</v>
      </c>
      <c r="D32" s="51" t="s">
        <v>1719</v>
      </c>
      <c r="E32" s="52" t="s">
        <v>1719</v>
      </c>
      <c r="F32" s="53">
        <v>887528799</v>
      </c>
    </row>
    <row r="33" spans="1:6">
      <c r="A33" s="55" t="s">
        <v>37</v>
      </c>
      <c r="B33" s="51" t="s">
        <v>1760</v>
      </c>
      <c r="C33" s="51" t="s">
        <v>1719</v>
      </c>
      <c r="D33" s="51" t="s">
        <v>1719</v>
      </c>
      <c r="E33" s="52" t="s">
        <v>1719</v>
      </c>
      <c r="F33" s="53">
        <v>962454529</v>
      </c>
    </row>
    <row r="34" spans="1:6">
      <c r="A34" s="55" t="s">
        <v>38</v>
      </c>
      <c r="B34" s="51" t="s">
        <v>1761</v>
      </c>
      <c r="C34" s="51" t="s">
        <v>1719</v>
      </c>
      <c r="D34" s="51" t="s">
        <v>1719</v>
      </c>
      <c r="E34" s="52" t="s">
        <v>1719</v>
      </c>
      <c r="F34" s="53">
        <v>962454529</v>
      </c>
    </row>
    <row r="35" spans="1:6">
      <c r="A35" s="55" t="s">
        <v>39</v>
      </c>
      <c r="B35" s="51" t="s">
        <v>1762</v>
      </c>
      <c r="C35" s="51" t="s">
        <v>1719</v>
      </c>
      <c r="D35" s="51" t="s">
        <v>1719</v>
      </c>
      <c r="E35" s="52" t="s">
        <v>1719</v>
      </c>
      <c r="F35" s="53">
        <v>971075730</v>
      </c>
    </row>
    <row r="36" spans="1:6">
      <c r="A36" s="55" t="s">
        <v>40</v>
      </c>
      <c r="B36" s="51" t="s">
        <v>1763</v>
      </c>
      <c r="C36" s="51" t="s">
        <v>1764</v>
      </c>
      <c r="E36" s="52">
        <v>105547145326</v>
      </c>
      <c r="F36" s="53">
        <v>944041919</v>
      </c>
    </row>
    <row r="37" spans="1:6">
      <c r="A37" s="55" t="s">
        <v>41</v>
      </c>
      <c r="B37" s="51" t="s">
        <v>1765</v>
      </c>
      <c r="C37" s="51" t="s">
        <v>1719</v>
      </c>
      <c r="D37" s="51" t="s">
        <v>1719</v>
      </c>
      <c r="E37" s="52" t="s">
        <v>1719</v>
      </c>
      <c r="F37" s="53">
        <v>625905258</v>
      </c>
    </row>
    <row r="38" spans="1:6">
      <c r="A38" s="55" t="s">
        <v>42</v>
      </c>
      <c r="B38" s="51" t="s">
        <v>1766</v>
      </c>
      <c r="C38" s="51" t="s">
        <v>1719</v>
      </c>
      <c r="D38" s="51" t="s">
        <v>1719</v>
      </c>
      <c r="E38" s="52" t="s">
        <v>1719</v>
      </c>
      <c r="F38" s="53">
        <v>815295426</v>
      </c>
    </row>
    <row r="39" spans="1:6">
      <c r="A39" s="55" t="s">
        <v>43</v>
      </c>
      <c r="B39" s="51" t="s">
        <v>1767</v>
      </c>
      <c r="C39" s="51" t="s">
        <v>1719</v>
      </c>
      <c r="D39" s="51" t="s">
        <v>1719</v>
      </c>
      <c r="E39" s="52" t="s">
        <v>1719</v>
      </c>
      <c r="F39" s="53">
        <v>801626994</v>
      </c>
    </row>
    <row r="40" spans="1:6">
      <c r="A40" s="55" t="s">
        <v>44</v>
      </c>
      <c r="B40" s="51" t="s">
        <v>1768</v>
      </c>
      <c r="C40" s="51" t="s">
        <v>1719</v>
      </c>
      <c r="D40" s="51" t="s">
        <v>1719</v>
      </c>
      <c r="E40" s="52" t="s">
        <v>1719</v>
      </c>
      <c r="F40" s="53">
        <v>818132536</v>
      </c>
    </row>
    <row r="41" spans="1:6">
      <c r="A41" s="55" t="s">
        <v>45</v>
      </c>
      <c r="B41" s="51" t="s">
        <v>1769</v>
      </c>
      <c r="C41" s="51" t="s">
        <v>1719</v>
      </c>
      <c r="D41" s="51" t="s">
        <v>1719</v>
      </c>
      <c r="E41" s="52" t="s">
        <v>1719</v>
      </c>
      <c r="F41" s="53">
        <v>957627727</v>
      </c>
    </row>
    <row r="42" spans="1:6">
      <c r="A42" s="55" t="s">
        <v>46</v>
      </c>
      <c r="B42" s="51" t="s">
        <v>1770</v>
      </c>
      <c r="C42" s="51" t="s">
        <v>1719</v>
      </c>
      <c r="D42" s="51" t="s">
        <v>1719</v>
      </c>
      <c r="E42" s="52">
        <v>715558001457</v>
      </c>
      <c r="F42" s="53">
        <v>869149144</v>
      </c>
    </row>
    <row r="43" spans="1:6">
      <c r="A43" s="55" t="s">
        <v>47</v>
      </c>
      <c r="B43" s="51" t="s">
        <v>1771</v>
      </c>
      <c r="C43" s="51" t="s">
        <v>1719</v>
      </c>
      <c r="D43" s="51" t="s">
        <v>1719</v>
      </c>
      <c r="E43" s="52" t="s">
        <v>1719</v>
      </c>
      <c r="F43" s="53">
        <v>848742682</v>
      </c>
    </row>
    <row r="44" spans="1:6">
      <c r="A44" s="55" t="s">
        <v>48</v>
      </c>
      <c r="B44" s="51" t="s">
        <v>1772</v>
      </c>
      <c r="C44" s="51" t="s">
        <v>1719</v>
      </c>
      <c r="D44" s="51" t="s">
        <v>1719</v>
      </c>
      <c r="E44" s="52" t="s">
        <v>1719</v>
      </c>
      <c r="F44" s="53">
        <v>823292062</v>
      </c>
    </row>
    <row r="45" spans="1:6">
      <c r="A45" s="55" t="s">
        <v>49</v>
      </c>
      <c r="B45" s="51" t="s">
        <v>1773</v>
      </c>
      <c r="C45" s="51" t="s">
        <v>1719</v>
      </c>
      <c r="D45" s="51" t="s">
        <v>1719</v>
      </c>
      <c r="E45" s="52" t="s">
        <v>1719</v>
      </c>
      <c r="F45" s="53">
        <v>985632891</v>
      </c>
    </row>
    <row r="46" spans="1:6">
      <c r="A46" s="55" t="s">
        <v>50</v>
      </c>
      <c r="B46" s="51" t="s">
        <v>1774</v>
      </c>
      <c r="C46" s="51" t="s">
        <v>1719</v>
      </c>
      <c r="D46" s="51" t="s">
        <v>1719</v>
      </c>
      <c r="E46" s="52" t="s">
        <v>1719</v>
      </c>
      <c r="F46" s="53">
        <v>654629269</v>
      </c>
    </row>
    <row r="47" spans="1:6">
      <c r="A47" s="55" t="s">
        <v>51</v>
      </c>
      <c r="B47" s="51" t="s">
        <v>1775</v>
      </c>
      <c r="C47" s="51" t="s">
        <v>1776</v>
      </c>
      <c r="D47" s="51" t="s">
        <v>1777</v>
      </c>
      <c r="E47" s="52">
        <v>205562014350</v>
      </c>
      <c r="F47" s="53">
        <v>971589175</v>
      </c>
    </row>
    <row r="48" spans="1:6">
      <c r="A48" s="55" t="s">
        <v>52</v>
      </c>
      <c r="B48" s="51" t="s">
        <v>1778</v>
      </c>
      <c r="C48" s="51" t="s">
        <v>1719</v>
      </c>
      <c r="D48" s="51" t="s">
        <v>1719</v>
      </c>
      <c r="E48" s="52" t="s">
        <v>1719</v>
      </c>
      <c r="F48" s="53">
        <v>924149936</v>
      </c>
    </row>
    <row r="49" spans="1:6">
      <c r="A49" s="55" t="s">
        <v>53</v>
      </c>
      <c r="B49" s="51" t="s">
        <v>1779</v>
      </c>
      <c r="C49" s="51" t="s">
        <v>1719</v>
      </c>
      <c r="D49" s="51" t="s">
        <v>1719</v>
      </c>
      <c r="E49" s="52" t="s">
        <v>1719</v>
      </c>
      <c r="F49" s="53">
        <v>986861437</v>
      </c>
    </row>
    <row r="50" spans="1:6">
      <c r="A50" s="55" t="s">
        <v>54</v>
      </c>
      <c r="B50" s="51" t="s">
        <v>1780</v>
      </c>
      <c r="C50" s="51" t="s">
        <v>1719</v>
      </c>
      <c r="D50" s="51" t="s">
        <v>1719</v>
      </c>
      <c r="E50" s="52" t="s">
        <v>1719</v>
      </c>
      <c r="F50" s="53">
        <v>907993205</v>
      </c>
    </row>
    <row r="51" spans="1:6">
      <c r="A51" s="55" t="s">
        <v>55</v>
      </c>
      <c r="B51" s="51" t="s">
        <v>1781</v>
      </c>
      <c r="C51" s="51" t="s">
        <v>1719</v>
      </c>
      <c r="D51" s="51" t="s">
        <v>1719</v>
      </c>
      <c r="E51" s="52" t="s">
        <v>1719</v>
      </c>
      <c r="F51" s="53">
        <v>806344081</v>
      </c>
    </row>
    <row r="52" spans="1:6">
      <c r="A52" s="55" t="s">
        <v>56</v>
      </c>
      <c r="B52" s="51" t="s">
        <v>1782</v>
      </c>
      <c r="C52" s="51" t="s">
        <v>1719</v>
      </c>
      <c r="D52" s="51" t="s">
        <v>1719</v>
      </c>
      <c r="E52" s="52" t="s">
        <v>1719</v>
      </c>
      <c r="F52" s="53">
        <v>817309811</v>
      </c>
    </row>
    <row r="53" spans="1:6">
      <c r="A53" s="55" t="s">
        <v>57</v>
      </c>
      <c r="B53" s="51" t="s">
        <v>1783</v>
      </c>
      <c r="C53" s="51" t="s">
        <v>1719</v>
      </c>
      <c r="D53" s="51" t="s">
        <v>1719</v>
      </c>
      <c r="E53" s="52" t="s">
        <v>1719</v>
      </c>
      <c r="F53" s="53">
        <v>929949241</v>
      </c>
    </row>
    <row r="54" spans="1:6">
      <c r="A54" s="55" t="s">
        <v>58</v>
      </c>
      <c r="B54" s="51" t="s">
        <v>1784</v>
      </c>
      <c r="C54" s="51" t="s">
        <v>1719</v>
      </c>
      <c r="D54" s="51" t="s">
        <v>1719</v>
      </c>
      <c r="E54" s="52" t="s">
        <v>1719</v>
      </c>
      <c r="F54" s="53">
        <v>947824546</v>
      </c>
    </row>
    <row r="55" spans="1:6">
      <c r="A55" s="55" t="s">
        <v>59</v>
      </c>
      <c r="B55" s="51" t="s">
        <v>1785</v>
      </c>
      <c r="C55" s="51" t="s">
        <v>1786</v>
      </c>
      <c r="E55" s="52">
        <v>105553040514</v>
      </c>
      <c r="F55" s="53">
        <v>818109462</v>
      </c>
    </row>
    <row r="56" spans="1:6">
      <c r="A56" s="55" t="s">
        <v>60</v>
      </c>
      <c r="B56" s="51" t="s">
        <v>1787</v>
      </c>
      <c r="C56" s="51" t="s">
        <v>1719</v>
      </c>
      <c r="D56" s="51" t="s">
        <v>1719</v>
      </c>
      <c r="E56" s="52" t="s">
        <v>1719</v>
      </c>
      <c r="F56" s="53">
        <v>891059676</v>
      </c>
    </row>
    <row r="57" spans="1:6">
      <c r="A57" s="55" t="s">
        <v>61</v>
      </c>
      <c r="B57" s="51" t="s">
        <v>1788</v>
      </c>
      <c r="C57" s="51" t="s">
        <v>1789</v>
      </c>
      <c r="E57" s="52" t="s">
        <v>1719</v>
      </c>
      <c r="F57" s="53">
        <v>948795451</v>
      </c>
    </row>
    <row r="58" spans="1:6">
      <c r="A58" s="55" t="s">
        <v>62</v>
      </c>
      <c r="B58" s="51" t="s">
        <v>1790</v>
      </c>
      <c r="C58" s="51" t="s">
        <v>1719</v>
      </c>
      <c r="D58" s="51" t="s">
        <v>1719</v>
      </c>
      <c r="E58" s="52" t="s">
        <v>1719</v>
      </c>
      <c r="F58" s="53">
        <v>654699742</v>
      </c>
    </row>
    <row r="59" spans="1:6">
      <c r="A59" s="55" t="s">
        <v>63</v>
      </c>
      <c r="B59" s="51" t="s">
        <v>1791</v>
      </c>
      <c r="C59" s="51" t="s">
        <v>1719</v>
      </c>
      <c r="D59" s="51" t="s">
        <v>1719</v>
      </c>
      <c r="E59" s="52" t="s">
        <v>1719</v>
      </c>
      <c r="F59" s="53">
        <v>943945193</v>
      </c>
    </row>
    <row r="60" spans="1:6">
      <c r="A60" s="55" t="s">
        <v>64</v>
      </c>
      <c r="B60" s="51" t="s">
        <v>1792</v>
      </c>
      <c r="C60" s="51" t="s">
        <v>1719</v>
      </c>
      <c r="D60" s="51" t="s">
        <v>1719</v>
      </c>
      <c r="E60" s="52" t="s">
        <v>1719</v>
      </c>
      <c r="F60" s="53">
        <v>818426137</v>
      </c>
    </row>
    <row r="61" spans="1:6">
      <c r="A61" s="55" t="s">
        <v>65</v>
      </c>
      <c r="B61" s="51" t="s">
        <v>1793</v>
      </c>
      <c r="C61" s="51" t="s">
        <v>1719</v>
      </c>
      <c r="D61" s="51" t="s">
        <v>1719</v>
      </c>
      <c r="E61" s="52" t="s">
        <v>1719</v>
      </c>
      <c r="F61" s="53">
        <v>849616887</v>
      </c>
    </row>
    <row r="62" spans="1:6">
      <c r="A62" s="55" t="s">
        <v>66</v>
      </c>
      <c r="B62" s="51" t="s">
        <v>1794</v>
      </c>
      <c r="C62" s="51" t="s">
        <v>1795</v>
      </c>
      <c r="E62" s="52">
        <v>105544044481</v>
      </c>
      <c r="F62" s="53">
        <v>880191714</v>
      </c>
    </row>
    <row r="63" spans="1:6">
      <c r="A63" s="55" t="s">
        <v>67</v>
      </c>
      <c r="B63" s="51" t="s">
        <v>1796</v>
      </c>
      <c r="C63" s="51" t="s">
        <v>1797</v>
      </c>
      <c r="D63" s="51" t="s">
        <v>1798</v>
      </c>
      <c r="E63" s="52">
        <v>125558001720</v>
      </c>
      <c r="F63" s="53">
        <v>841965351</v>
      </c>
    </row>
    <row r="64" spans="1:6">
      <c r="A64" s="55" t="s">
        <v>68</v>
      </c>
      <c r="B64" s="51" t="s">
        <v>1799</v>
      </c>
      <c r="C64" s="51" t="s">
        <v>1800</v>
      </c>
      <c r="E64" s="52">
        <v>195563000922</v>
      </c>
      <c r="F64" s="53">
        <v>894959555</v>
      </c>
    </row>
    <row r="65" spans="1:6">
      <c r="A65" s="55" t="s">
        <v>69</v>
      </c>
      <c r="B65" s="51" t="s">
        <v>1801</v>
      </c>
      <c r="C65" s="51" t="s">
        <v>1802</v>
      </c>
      <c r="E65" s="52">
        <v>105556037221</v>
      </c>
      <c r="F65" s="53">
        <v>814498970</v>
      </c>
    </row>
    <row r="66" spans="1:6">
      <c r="A66" s="55" t="s">
        <v>70</v>
      </c>
      <c r="B66" s="51" t="s">
        <v>1803</v>
      </c>
      <c r="C66" s="51" t="s">
        <v>1719</v>
      </c>
      <c r="D66" s="51" t="s">
        <v>1719</v>
      </c>
      <c r="E66" s="52" t="s">
        <v>1719</v>
      </c>
      <c r="F66" s="53">
        <v>817402265</v>
      </c>
    </row>
    <row r="67" spans="1:6">
      <c r="A67" s="55" t="s">
        <v>71</v>
      </c>
      <c r="B67" s="51" t="s">
        <v>1804</v>
      </c>
      <c r="C67" s="51" t="s">
        <v>1719</v>
      </c>
      <c r="D67" s="51" t="s">
        <v>1719</v>
      </c>
      <c r="E67" s="52" t="s">
        <v>1719</v>
      </c>
      <c r="F67" s="53">
        <v>863566979</v>
      </c>
    </row>
    <row r="68" spans="1:6">
      <c r="A68" s="55" t="s">
        <v>72</v>
      </c>
      <c r="B68" s="51" t="s">
        <v>1805</v>
      </c>
      <c r="C68" s="51" t="s">
        <v>1719</v>
      </c>
      <c r="D68" s="51" t="s">
        <v>1719</v>
      </c>
      <c r="E68" s="52" t="s">
        <v>1719</v>
      </c>
      <c r="F68" s="53">
        <v>855766932</v>
      </c>
    </row>
    <row r="69" spans="1:6">
      <c r="A69" s="55" t="s">
        <v>73</v>
      </c>
      <c r="B69" s="51" t="s">
        <v>1806</v>
      </c>
      <c r="C69" s="51" t="s">
        <v>1807</v>
      </c>
      <c r="E69" s="52">
        <v>305547000873</v>
      </c>
      <c r="F69" s="53">
        <v>832429878</v>
      </c>
    </row>
    <row r="70" spans="1:6">
      <c r="A70" s="55" t="s">
        <v>74</v>
      </c>
      <c r="B70" s="51" t="s">
        <v>1808</v>
      </c>
      <c r="C70" s="51" t="s">
        <v>1809</v>
      </c>
      <c r="E70" s="52">
        <v>135535001529</v>
      </c>
      <c r="F70" s="53">
        <v>816275542</v>
      </c>
    </row>
    <row r="71" spans="1:6">
      <c r="A71" s="55" t="s">
        <v>75</v>
      </c>
      <c r="B71" s="51" t="s">
        <v>1810</v>
      </c>
      <c r="C71" s="51" t="s">
        <v>1719</v>
      </c>
      <c r="D71" s="51" t="s">
        <v>1719</v>
      </c>
      <c r="E71" s="52" t="s">
        <v>1719</v>
      </c>
      <c r="F71" s="53">
        <v>988855452</v>
      </c>
    </row>
    <row r="72" spans="1:6">
      <c r="A72" s="55" t="s">
        <v>76</v>
      </c>
      <c r="B72" s="51" t="s">
        <v>1811</v>
      </c>
      <c r="C72" s="51" t="s">
        <v>1719</v>
      </c>
      <c r="D72" s="51" t="s">
        <v>1719</v>
      </c>
      <c r="E72" s="52" t="s">
        <v>1719</v>
      </c>
      <c r="F72" s="53">
        <v>923953889</v>
      </c>
    </row>
    <row r="73" spans="1:6">
      <c r="A73" s="55" t="s">
        <v>77</v>
      </c>
      <c r="B73" s="51" t="s">
        <v>1812</v>
      </c>
      <c r="C73" s="51" t="s">
        <v>1813</v>
      </c>
      <c r="E73" s="52">
        <v>105565094584</v>
      </c>
      <c r="F73" s="53">
        <v>993235366</v>
      </c>
    </row>
    <row r="74" spans="1:6">
      <c r="A74" s="55" t="s">
        <v>78</v>
      </c>
      <c r="B74" s="51" t="s">
        <v>1814</v>
      </c>
      <c r="C74" s="51" t="s">
        <v>1719</v>
      </c>
      <c r="D74" s="51" t="s">
        <v>1719</v>
      </c>
      <c r="E74" s="52" t="s">
        <v>1719</v>
      </c>
    </row>
    <row r="75" spans="1:6">
      <c r="A75" s="55" t="s">
        <v>79</v>
      </c>
      <c r="B75" s="51" t="s">
        <v>1815</v>
      </c>
      <c r="C75" s="51" t="s">
        <v>1719</v>
      </c>
      <c r="D75" s="51" t="s">
        <v>1719</v>
      </c>
      <c r="E75" s="52" t="s">
        <v>1719</v>
      </c>
      <c r="F75" s="53">
        <v>840251381</v>
      </c>
    </row>
    <row r="76" spans="1:6">
      <c r="A76" s="55" t="s">
        <v>80</v>
      </c>
      <c r="B76" s="51" t="s">
        <v>1816</v>
      </c>
      <c r="C76" s="51" t="s">
        <v>1817</v>
      </c>
      <c r="E76" s="52">
        <v>103552014801</v>
      </c>
      <c r="F76" s="53">
        <v>632151117</v>
      </c>
    </row>
    <row r="77" spans="1:6">
      <c r="A77" s="55" t="s">
        <v>81</v>
      </c>
      <c r="B77" s="51" t="s">
        <v>1818</v>
      </c>
      <c r="C77" s="51" t="s">
        <v>1719</v>
      </c>
      <c r="D77" s="51" t="s">
        <v>1719</v>
      </c>
      <c r="E77" s="52" t="s">
        <v>1719</v>
      </c>
      <c r="F77" s="53">
        <v>916559251</v>
      </c>
    </row>
    <row r="78" spans="1:6">
      <c r="A78" s="55" t="s">
        <v>82</v>
      </c>
      <c r="B78" s="51" t="s">
        <v>1819</v>
      </c>
      <c r="C78" s="51" t="s">
        <v>1820</v>
      </c>
      <c r="D78" s="51" t="s">
        <v>1821</v>
      </c>
      <c r="E78" s="52">
        <v>105552002872</v>
      </c>
      <c r="F78" s="53">
        <v>899203693</v>
      </c>
    </row>
    <row r="79" spans="1:6">
      <c r="A79" s="55" t="s">
        <v>83</v>
      </c>
      <c r="B79" s="51" t="s">
        <v>1822</v>
      </c>
      <c r="C79" s="51" t="s">
        <v>1719</v>
      </c>
      <c r="D79" s="51" t="s">
        <v>1719</v>
      </c>
      <c r="E79" s="52" t="s">
        <v>1719</v>
      </c>
      <c r="F79" s="53">
        <v>815394603</v>
      </c>
    </row>
    <row r="80" spans="1:6">
      <c r="A80" s="55" t="s">
        <v>84</v>
      </c>
      <c r="B80" s="51" t="s">
        <v>1823</v>
      </c>
      <c r="C80" s="51" t="s">
        <v>1719</v>
      </c>
      <c r="D80" s="51" t="s">
        <v>1719</v>
      </c>
      <c r="E80" s="52" t="s">
        <v>1719</v>
      </c>
      <c r="F80" s="53">
        <v>955255416</v>
      </c>
    </row>
    <row r="81" spans="1:6">
      <c r="A81" s="55" t="s">
        <v>85</v>
      </c>
      <c r="B81" s="51" t="s">
        <v>1835</v>
      </c>
      <c r="C81" s="51" t="s">
        <v>1836</v>
      </c>
      <c r="E81" s="52">
        <v>123561002268</v>
      </c>
      <c r="F81" s="53">
        <v>804466622</v>
      </c>
    </row>
    <row r="82" spans="1:6">
      <c r="A82" s="55" t="s">
        <v>86</v>
      </c>
      <c r="B82" s="51" t="s">
        <v>1837</v>
      </c>
      <c r="C82" s="51" t="s">
        <v>1719</v>
      </c>
      <c r="D82" s="51" t="s">
        <v>1719</v>
      </c>
      <c r="E82" s="52" t="s">
        <v>1719</v>
      </c>
      <c r="F82" s="53">
        <v>918413875</v>
      </c>
    </row>
    <row r="83" spans="1:6">
      <c r="A83" s="55" t="s">
        <v>87</v>
      </c>
      <c r="B83" s="51" t="s">
        <v>1838</v>
      </c>
      <c r="C83" s="51" t="s">
        <v>1839</v>
      </c>
      <c r="E83" s="52">
        <v>815553000443</v>
      </c>
      <c r="F83" s="53">
        <v>810926222</v>
      </c>
    </row>
    <row r="84" spans="1:6">
      <c r="A84" s="55" t="s">
        <v>1840</v>
      </c>
      <c r="B84" s="150" t="s">
        <v>1841</v>
      </c>
      <c r="C84" s="150" t="s">
        <v>1842</v>
      </c>
      <c r="F84" s="53">
        <v>808582266</v>
      </c>
    </row>
    <row r="85" spans="1:6">
      <c r="A85" s="55" t="s">
        <v>88</v>
      </c>
      <c r="B85" s="51" t="s">
        <v>1843</v>
      </c>
      <c r="C85" s="51" t="s">
        <v>1719</v>
      </c>
      <c r="D85" s="51" t="s">
        <v>1719</v>
      </c>
      <c r="E85" s="52" t="s">
        <v>1719</v>
      </c>
      <c r="F85" s="53">
        <v>939061623</v>
      </c>
    </row>
    <row r="86" spans="1:6">
      <c r="A86" s="55" t="s">
        <v>89</v>
      </c>
      <c r="B86" s="51" t="s">
        <v>1844</v>
      </c>
      <c r="C86" s="51" t="s">
        <v>1845</v>
      </c>
      <c r="E86" s="52">
        <v>115549005483</v>
      </c>
      <c r="F86" s="53">
        <v>827901716</v>
      </c>
    </row>
    <row r="87" spans="1:6">
      <c r="A87" s="55" t="s">
        <v>90</v>
      </c>
      <c r="B87" s="51" t="s">
        <v>1846</v>
      </c>
      <c r="C87" s="51" t="s">
        <v>1847</v>
      </c>
      <c r="E87" s="52">
        <v>505560003714</v>
      </c>
      <c r="F87" s="53">
        <v>865630410</v>
      </c>
    </row>
    <row r="88" spans="1:6">
      <c r="A88" s="55" t="s">
        <v>91</v>
      </c>
      <c r="B88" s="51" t="s">
        <v>1848</v>
      </c>
      <c r="C88" s="51" t="s">
        <v>1849</v>
      </c>
      <c r="E88" s="52">
        <v>505562012672</v>
      </c>
      <c r="F88" s="53">
        <v>833045062</v>
      </c>
    </row>
    <row r="89" spans="1:6">
      <c r="A89" s="55" t="s">
        <v>92</v>
      </c>
      <c r="B89" s="51" t="s">
        <v>1850</v>
      </c>
      <c r="C89" s="51" t="s">
        <v>1719</v>
      </c>
      <c r="D89" s="51" t="s">
        <v>1719</v>
      </c>
      <c r="E89" s="52" t="s">
        <v>1719</v>
      </c>
      <c r="F89" s="53">
        <v>970839944</v>
      </c>
    </row>
    <row r="90" spans="1:6">
      <c r="A90" s="55" t="s">
        <v>93</v>
      </c>
      <c r="B90" s="51" t="s">
        <v>1851</v>
      </c>
      <c r="C90" s="51" t="s">
        <v>1852</v>
      </c>
      <c r="E90" s="52">
        <v>105560100861</v>
      </c>
    </row>
    <row r="91" spans="1:6">
      <c r="A91" s="55" t="s">
        <v>94</v>
      </c>
      <c r="B91" s="51" t="s">
        <v>1853</v>
      </c>
      <c r="C91" s="51" t="s">
        <v>1854</v>
      </c>
      <c r="E91" s="52">
        <v>105562192194</v>
      </c>
      <c r="F91" s="53">
        <v>958978949</v>
      </c>
    </row>
    <row r="92" spans="1:6">
      <c r="A92" s="55" t="s">
        <v>95</v>
      </c>
      <c r="B92" s="51" t="s">
        <v>1855</v>
      </c>
      <c r="C92" s="51" t="s">
        <v>1856</v>
      </c>
      <c r="E92" s="52">
        <v>133542001006</v>
      </c>
      <c r="F92" s="53">
        <v>804559463</v>
      </c>
    </row>
    <row r="93" spans="1:6">
      <c r="A93" s="55" t="s">
        <v>96</v>
      </c>
      <c r="B93" s="51" t="s">
        <v>1857</v>
      </c>
      <c r="C93" s="51" t="s">
        <v>1719</v>
      </c>
      <c r="D93" s="51" t="s">
        <v>1719</v>
      </c>
      <c r="E93" s="52" t="s">
        <v>1719</v>
      </c>
      <c r="F93" s="53">
        <v>958978949</v>
      </c>
    </row>
    <row r="94" spans="1:6">
      <c r="A94" s="55" t="s">
        <v>97</v>
      </c>
      <c r="B94" s="51" t="s">
        <v>1858</v>
      </c>
      <c r="C94" s="51" t="s">
        <v>1719</v>
      </c>
      <c r="D94" s="51" t="s">
        <v>1719</v>
      </c>
      <c r="E94" s="52" t="s">
        <v>1719</v>
      </c>
      <c r="F94" s="53">
        <v>891490011</v>
      </c>
    </row>
    <row r="95" spans="1:6">
      <c r="A95" s="55" t="s">
        <v>98</v>
      </c>
      <c r="B95" s="51" t="s">
        <v>1859</v>
      </c>
      <c r="C95" s="51" t="s">
        <v>1719</v>
      </c>
      <c r="D95" s="51" t="s">
        <v>1719</v>
      </c>
      <c r="E95" s="52" t="s">
        <v>1719</v>
      </c>
      <c r="F95" s="53" t="s">
        <v>1860</v>
      </c>
    </row>
    <row r="96" spans="1:6">
      <c r="A96" s="55" t="s">
        <v>99</v>
      </c>
      <c r="B96" s="51" t="s">
        <v>1861</v>
      </c>
      <c r="C96" s="51" t="s">
        <v>1862</v>
      </c>
      <c r="E96" s="52">
        <v>105538008532</v>
      </c>
      <c r="F96" s="53">
        <v>891555819</v>
      </c>
    </row>
    <row r="97" spans="1:7">
      <c r="A97" s="55" t="s">
        <v>100</v>
      </c>
      <c r="B97" s="51" t="s">
        <v>1865</v>
      </c>
      <c r="C97" s="51" t="s">
        <v>1863</v>
      </c>
      <c r="E97" s="52">
        <v>105554146103</v>
      </c>
      <c r="F97" s="53" t="s">
        <v>1864</v>
      </c>
    </row>
    <row r="98" spans="1:7">
      <c r="A98" s="55" t="s">
        <v>101</v>
      </c>
      <c r="B98" s="51" t="s">
        <v>1866</v>
      </c>
      <c r="C98" s="51" t="s">
        <v>1867</v>
      </c>
      <c r="E98" s="52">
        <v>315547000229</v>
      </c>
      <c r="F98" s="53">
        <v>618716444</v>
      </c>
    </row>
    <row r="99" spans="1:7">
      <c r="A99" s="55" t="s">
        <v>102</v>
      </c>
      <c r="B99" s="51" t="s">
        <v>1893</v>
      </c>
      <c r="C99" s="51" t="s">
        <v>1894</v>
      </c>
      <c r="E99" s="52">
        <v>8439988012855</v>
      </c>
      <c r="F99" s="53" t="s">
        <v>1892</v>
      </c>
    </row>
    <row r="100" spans="1:7">
      <c r="A100" s="55" t="s">
        <v>103</v>
      </c>
      <c r="B100" s="51" t="s">
        <v>1896</v>
      </c>
      <c r="C100" s="51" t="s">
        <v>1897</v>
      </c>
      <c r="F100" s="53" t="s">
        <v>1895</v>
      </c>
      <c r="G100" s="150" t="s">
        <v>1898</v>
      </c>
    </row>
    <row r="101" spans="1:7">
      <c r="A101" s="55" t="s">
        <v>104</v>
      </c>
      <c r="B101" s="51" t="s">
        <v>1899</v>
      </c>
      <c r="C101" s="51" t="s">
        <v>1900</v>
      </c>
      <c r="E101" s="52">
        <v>425562000284</v>
      </c>
      <c r="F101" s="53">
        <v>910607122</v>
      </c>
    </row>
    <row r="102" spans="1:7">
      <c r="A102" s="55" t="s">
        <v>105</v>
      </c>
      <c r="B102" s="51" t="s">
        <v>1901</v>
      </c>
      <c r="C102" s="51" t="s">
        <v>1902</v>
      </c>
      <c r="E102" s="52">
        <v>115547008655</v>
      </c>
      <c r="F102" s="53" t="s">
        <v>1903</v>
      </c>
    </row>
    <row r="103" spans="1:7">
      <c r="A103" s="55" t="s">
        <v>106</v>
      </c>
      <c r="B103" s="51" t="s">
        <v>1904</v>
      </c>
      <c r="C103" s="51" t="s">
        <v>1719</v>
      </c>
      <c r="D103" s="51" t="s">
        <v>1719</v>
      </c>
      <c r="E103" s="52" t="s">
        <v>1719</v>
      </c>
      <c r="F103" s="53">
        <v>816287938</v>
      </c>
    </row>
    <row r="104" spans="1:7">
      <c r="A104" s="55" t="s">
        <v>1868</v>
      </c>
      <c r="B104" s="51" t="s">
        <v>1905</v>
      </c>
      <c r="C104" s="51" t="s">
        <v>1719</v>
      </c>
      <c r="D104" s="51" t="s">
        <v>1719</v>
      </c>
      <c r="E104" s="52" t="s">
        <v>1719</v>
      </c>
      <c r="F104" s="53">
        <v>921819944</v>
      </c>
    </row>
    <row r="105" spans="1:7">
      <c r="A105" s="55" t="s">
        <v>1869</v>
      </c>
      <c r="B105" s="51" t="s">
        <v>1907</v>
      </c>
      <c r="C105" s="51" t="s">
        <v>1906</v>
      </c>
      <c r="E105" s="52">
        <v>115565022231</v>
      </c>
      <c r="F105" s="53">
        <v>834736167</v>
      </c>
    </row>
    <row r="106" spans="1:7">
      <c r="A106" s="55" t="s">
        <v>1870</v>
      </c>
      <c r="B106" s="51" t="s">
        <v>1908</v>
      </c>
      <c r="C106" s="51" t="s">
        <v>1909</v>
      </c>
      <c r="D106" s="51" t="s">
        <v>1910</v>
      </c>
      <c r="E106" s="52">
        <v>105550033428</v>
      </c>
      <c r="F106" s="53">
        <v>818660030</v>
      </c>
    </row>
    <row r="107" spans="1:7">
      <c r="A107" s="55" t="s">
        <v>1871</v>
      </c>
      <c r="B107" s="51" t="s">
        <v>1911</v>
      </c>
      <c r="E107" s="53" t="s">
        <v>1719</v>
      </c>
      <c r="F107" s="53">
        <v>892225915</v>
      </c>
    </row>
    <row r="108" spans="1:7">
      <c r="A108" s="55" t="s">
        <v>1872</v>
      </c>
      <c r="B108" s="51" t="s">
        <v>1912</v>
      </c>
      <c r="C108" s="53" t="s">
        <v>1719</v>
      </c>
      <c r="D108" s="53" t="s">
        <v>1719</v>
      </c>
      <c r="E108" s="53" t="s">
        <v>1719</v>
      </c>
      <c r="F108" s="53" t="s">
        <v>1913</v>
      </c>
    </row>
    <row r="109" spans="1:7">
      <c r="A109" s="55" t="s">
        <v>1873</v>
      </c>
      <c r="B109" s="51" t="s">
        <v>1915</v>
      </c>
      <c r="C109" s="51" t="s">
        <v>1920</v>
      </c>
      <c r="D109" s="53" t="s">
        <v>1719</v>
      </c>
      <c r="E109" s="52">
        <v>103548047628</v>
      </c>
      <c r="F109" s="53" t="s">
        <v>1916</v>
      </c>
    </row>
    <row r="110" spans="1:7">
      <c r="A110" s="55" t="s">
        <v>1874</v>
      </c>
      <c r="B110" s="51" t="s">
        <v>1917</v>
      </c>
      <c r="C110" s="51" t="s">
        <v>1918</v>
      </c>
      <c r="D110" s="53" t="s">
        <v>1719</v>
      </c>
      <c r="E110" s="52">
        <v>113537003993</v>
      </c>
      <c r="F110" s="53" t="s">
        <v>1919</v>
      </c>
    </row>
    <row r="111" spans="1:7">
      <c r="A111" s="55" t="s">
        <v>1875</v>
      </c>
      <c r="B111" s="51" t="s">
        <v>1922</v>
      </c>
      <c r="C111" s="51" t="s">
        <v>1923</v>
      </c>
      <c r="D111" s="53" t="s">
        <v>1719</v>
      </c>
      <c r="E111" s="52">
        <v>343550001131</v>
      </c>
      <c r="F111" s="53" t="s">
        <v>1924</v>
      </c>
    </row>
    <row r="112" spans="1:7">
      <c r="A112" s="55" t="s">
        <v>1876</v>
      </c>
      <c r="B112" s="51" t="s">
        <v>1927</v>
      </c>
      <c r="C112" s="51" t="s">
        <v>1928</v>
      </c>
      <c r="D112" s="51" t="s">
        <v>1928</v>
      </c>
      <c r="E112" s="53" t="s">
        <v>1719</v>
      </c>
      <c r="F112" s="53" t="s">
        <v>1929</v>
      </c>
    </row>
    <row r="113" spans="1:6">
      <c r="A113" s="55" t="s">
        <v>1877</v>
      </c>
      <c r="B113" s="51" t="s">
        <v>1931</v>
      </c>
      <c r="C113" s="51" t="s">
        <v>1932</v>
      </c>
      <c r="D113" s="51" t="s">
        <v>1932</v>
      </c>
      <c r="E113" s="52">
        <v>835562109691</v>
      </c>
      <c r="F113" s="53" t="s">
        <v>1933</v>
      </c>
    </row>
    <row r="114" spans="1:6">
      <c r="A114" s="55" t="s">
        <v>1878</v>
      </c>
      <c r="B114" s="51" t="s">
        <v>1934</v>
      </c>
      <c r="C114" s="51" t="s">
        <v>1935</v>
      </c>
      <c r="D114" s="51" t="s">
        <v>1937</v>
      </c>
      <c r="E114" s="52">
        <v>135557000533</v>
      </c>
      <c r="F114" s="53" t="s">
        <v>1936</v>
      </c>
    </row>
    <row r="115" spans="1:6">
      <c r="A115" s="55" t="s">
        <v>1879</v>
      </c>
      <c r="B115" s="51" t="s">
        <v>1938</v>
      </c>
      <c r="C115" s="51" t="s">
        <v>1939</v>
      </c>
      <c r="D115" s="53" t="s">
        <v>1719</v>
      </c>
      <c r="E115" s="52">
        <v>105552007734</v>
      </c>
      <c r="F115" s="53">
        <v>959591625</v>
      </c>
    </row>
    <row r="116" spans="1:6">
      <c r="A116" s="55" t="s">
        <v>1880</v>
      </c>
      <c r="B116" s="51" t="s">
        <v>1941</v>
      </c>
      <c r="C116" s="51" t="s">
        <v>1940</v>
      </c>
      <c r="D116" s="53" t="s">
        <v>1719</v>
      </c>
      <c r="E116" s="52">
        <v>3450101261200</v>
      </c>
      <c r="F116" s="53" t="s">
        <v>1944</v>
      </c>
    </row>
    <row r="117" spans="1:6">
      <c r="A117" s="55" t="s">
        <v>1881</v>
      </c>
      <c r="B117" s="51" t="s">
        <v>1945</v>
      </c>
      <c r="C117" s="51" t="s">
        <v>1946</v>
      </c>
      <c r="D117" s="53" t="s">
        <v>1719</v>
      </c>
      <c r="E117" s="53" t="s">
        <v>1719</v>
      </c>
      <c r="F117" s="53">
        <v>659543364</v>
      </c>
    </row>
    <row r="118" spans="1:6">
      <c r="A118" s="55" t="s">
        <v>1882</v>
      </c>
      <c r="B118" s="51" t="s">
        <v>1947</v>
      </c>
      <c r="C118" s="51" t="s">
        <v>1971</v>
      </c>
      <c r="D118" s="53" t="s">
        <v>1719</v>
      </c>
      <c r="E118" s="52">
        <v>105556028949</v>
      </c>
      <c r="F118" s="53">
        <v>899674515</v>
      </c>
    </row>
    <row r="119" spans="1:6">
      <c r="A119" s="55" t="s">
        <v>1883</v>
      </c>
      <c r="B119" s="51" t="s">
        <v>1963</v>
      </c>
      <c r="C119" s="51" t="s">
        <v>1967</v>
      </c>
      <c r="D119" s="53" t="s">
        <v>1719</v>
      </c>
      <c r="E119" s="52">
        <v>193555000801</v>
      </c>
      <c r="F119" s="53" t="s">
        <v>1948</v>
      </c>
    </row>
    <row r="120" spans="1:6">
      <c r="A120" s="55" t="s">
        <v>1884</v>
      </c>
      <c r="B120" s="51" t="s">
        <v>1949</v>
      </c>
      <c r="C120" s="51" t="s">
        <v>1950</v>
      </c>
      <c r="D120" s="53" t="s">
        <v>1719</v>
      </c>
      <c r="E120" s="52">
        <v>135566021319</v>
      </c>
      <c r="F120" s="53">
        <v>929452966</v>
      </c>
    </row>
    <row r="121" spans="1:6">
      <c r="A121" s="55" t="s">
        <v>1885</v>
      </c>
      <c r="B121" s="51" t="s">
        <v>1951</v>
      </c>
      <c r="C121" s="51" t="s">
        <v>1968</v>
      </c>
      <c r="D121" s="53" t="s">
        <v>1719</v>
      </c>
      <c r="E121" s="52">
        <v>253562000616</v>
      </c>
      <c r="F121" s="53" t="s">
        <v>1952</v>
      </c>
    </row>
    <row r="122" spans="1:6">
      <c r="A122" s="55" t="s">
        <v>1886</v>
      </c>
      <c r="B122" s="51" t="s">
        <v>1953</v>
      </c>
      <c r="C122" s="51" t="s">
        <v>1954</v>
      </c>
      <c r="D122" s="53" t="s">
        <v>1719</v>
      </c>
      <c r="E122" s="52">
        <v>125554010554</v>
      </c>
      <c r="F122" s="53" t="s">
        <v>1719</v>
      </c>
    </row>
    <row r="123" spans="1:6">
      <c r="A123" s="55" t="s">
        <v>1887</v>
      </c>
      <c r="B123" s="51" t="s">
        <v>1958</v>
      </c>
      <c r="C123" s="51" t="s">
        <v>1969</v>
      </c>
      <c r="D123" s="53" t="s">
        <v>1719</v>
      </c>
      <c r="E123" s="52">
        <v>1103700555081</v>
      </c>
      <c r="F123" s="53" t="s">
        <v>1719</v>
      </c>
    </row>
    <row r="124" spans="1:6">
      <c r="A124" s="55" t="s">
        <v>1888</v>
      </c>
      <c r="B124" s="51" t="s">
        <v>1955</v>
      </c>
      <c r="C124" s="51" t="s">
        <v>1956</v>
      </c>
      <c r="D124" s="53" t="s">
        <v>1719</v>
      </c>
      <c r="E124" s="52">
        <v>113562004205</v>
      </c>
      <c r="F124" s="53" t="s">
        <v>1957</v>
      </c>
    </row>
    <row r="125" spans="1:6">
      <c r="A125" s="55" t="s">
        <v>1889</v>
      </c>
      <c r="B125" s="51" t="s">
        <v>1959</v>
      </c>
      <c r="C125" s="51" t="s">
        <v>1960</v>
      </c>
      <c r="D125" s="53" t="s">
        <v>1719</v>
      </c>
      <c r="E125" s="52">
        <v>135555013514</v>
      </c>
      <c r="F125" s="53" t="s">
        <v>1961</v>
      </c>
    </row>
    <row r="126" spans="1:6">
      <c r="A126" s="55" t="s">
        <v>1890</v>
      </c>
      <c r="B126" s="51" t="s">
        <v>1964</v>
      </c>
      <c r="C126" s="51" t="s">
        <v>1970</v>
      </c>
      <c r="D126" s="53" t="s">
        <v>1719</v>
      </c>
      <c r="E126" s="52">
        <v>135562018801</v>
      </c>
      <c r="F126" s="53">
        <v>1994585159</v>
      </c>
    </row>
    <row r="127" spans="1:6">
      <c r="A127" s="55" t="s">
        <v>1891</v>
      </c>
      <c r="B127" s="51" t="s">
        <v>1965</v>
      </c>
      <c r="C127" s="51" t="s">
        <v>1966</v>
      </c>
      <c r="D127" s="53" t="s">
        <v>1719</v>
      </c>
      <c r="E127" s="52">
        <v>5101800006608</v>
      </c>
      <c r="F127" s="53" t="s">
        <v>1719</v>
      </c>
    </row>
    <row r="128" spans="1:6">
      <c r="A128" s="55" t="s">
        <v>1972</v>
      </c>
      <c r="B128" s="51" t="s">
        <v>1973</v>
      </c>
      <c r="C128" s="51" t="s">
        <v>1974</v>
      </c>
      <c r="D128" s="51" t="s">
        <v>1719</v>
      </c>
      <c r="E128" s="52">
        <v>1679900377101</v>
      </c>
    </row>
    <row r="129" spans="1:5">
      <c r="A129" s="55" t="s">
        <v>1975</v>
      </c>
      <c r="B129" s="51" t="s">
        <v>1973</v>
      </c>
      <c r="C129" s="51" t="s">
        <v>1974</v>
      </c>
      <c r="D129" s="51" t="s">
        <v>1719</v>
      </c>
      <c r="E129" s="52">
        <v>1679900377101</v>
      </c>
    </row>
  </sheetData>
  <phoneticPr fontId="6" type="noConversion"/>
  <conditionalFormatting sqref="B1:B1048576">
    <cfRule type="duplicateValues" dxfId="52" priority="5"/>
  </conditionalFormatting>
  <conditionalFormatting sqref="E1:E93 E96:E102 E105:E106 E118:E1048576 E113:E116 E109:E111">
    <cfRule type="duplicateValues" dxfId="51" priority="6"/>
  </conditionalFormatting>
  <conditionalFormatting sqref="E94">
    <cfRule type="duplicateValues" dxfId="50" priority="4"/>
  </conditionalFormatting>
  <conditionalFormatting sqref="E95">
    <cfRule type="duplicateValues" dxfId="49" priority="3"/>
  </conditionalFormatting>
  <conditionalFormatting sqref="E103">
    <cfRule type="duplicateValues" dxfId="48" priority="2"/>
  </conditionalFormatting>
  <conditionalFormatting sqref="E104">
    <cfRule type="duplicateValues" dxfId="47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DA7A-F31A-4504-8B51-1D338BF5A31A}">
  <sheetPr>
    <tabColor rgb="FFFFC000"/>
    <pageSetUpPr fitToPage="1"/>
  </sheetPr>
  <dimension ref="A1:Q74"/>
  <sheetViews>
    <sheetView topLeftCell="A5" zoomScale="85" zoomScaleNormal="85" zoomScaleSheetLayoutView="40" workbookViewId="0">
      <selection activeCell="H8" sqref="H8"/>
    </sheetView>
  </sheetViews>
  <sheetFormatPr defaultColWidth="9" defaultRowHeight="25.5"/>
  <cols>
    <col min="1" max="1" width="7" style="6" customWidth="1"/>
    <col min="2" max="2" width="20.375" style="6" customWidth="1"/>
    <col min="3" max="3" width="6.5" style="6" customWidth="1"/>
    <col min="4" max="5" width="19" style="6" customWidth="1"/>
    <col min="6" max="6" width="54" style="6" customWidth="1"/>
    <col min="7" max="7" width="12" style="6" customWidth="1"/>
    <col min="8" max="9" width="14" style="6" customWidth="1"/>
    <col min="10" max="10" width="9" style="1"/>
    <col min="11" max="11" width="10" style="1" customWidth="1"/>
    <col min="12" max="12" width="11" style="1" bestFit="1" customWidth="1"/>
    <col min="13" max="13" width="2.5" style="1" customWidth="1"/>
    <col min="14" max="14" width="12" style="1" customWidth="1"/>
    <col min="15" max="15" width="19" style="1" customWidth="1"/>
    <col min="16" max="16384" width="9" style="1"/>
  </cols>
  <sheetData>
    <row r="1" spans="1:17" ht="29.45" customHeight="1">
      <c r="C1" s="15" t="s">
        <v>130</v>
      </c>
      <c r="D1" s="15"/>
      <c r="E1" s="15"/>
      <c r="F1" s="15"/>
      <c r="I1" s="16" t="s">
        <v>131</v>
      </c>
    </row>
    <row r="2" spans="1:17" ht="23.45" customHeight="1">
      <c r="A2" s="11"/>
      <c r="B2" s="1"/>
      <c r="C2" s="15" t="s">
        <v>132</v>
      </c>
      <c r="D2" s="15"/>
      <c r="E2" s="15"/>
      <c r="F2" s="63"/>
      <c r="G2" s="1"/>
      <c r="H2" s="1"/>
      <c r="I2" s="17" t="s">
        <v>133</v>
      </c>
    </row>
    <row r="3" spans="1:17" ht="20.25">
      <c r="A3" s="18" t="s">
        <v>134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0"/>
      <c r="Q3" s="21"/>
    </row>
    <row r="4" spans="1:17" ht="20.25">
      <c r="A4" s="18" t="s">
        <v>135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0"/>
      <c r="Q4" s="21"/>
    </row>
    <row r="5" spans="1:17" ht="20.25">
      <c r="A5" s="18" t="s">
        <v>136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0"/>
      <c r="Q5" s="21"/>
    </row>
    <row r="6" spans="1:17" ht="20.25">
      <c r="A6" s="20" t="s">
        <v>137</v>
      </c>
      <c r="B6" s="20"/>
      <c r="C6" s="20"/>
      <c r="D6" s="20"/>
      <c r="E6" s="20"/>
      <c r="F6" s="20"/>
      <c r="G6" s="22"/>
      <c r="H6" s="20"/>
      <c r="I6" s="23" t="s">
        <v>138</v>
      </c>
      <c r="J6" s="20"/>
      <c r="K6" s="20"/>
      <c r="L6" s="20"/>
      <c r="M6" s="22"/>
      <c r="N6" s="20"/>
      <c r="O6" s="20"/>
      <c r="P6" s="20"/>
      <c r="Q6" s="21"/>
    </row>
    <row r="7" spans="1:17" ht="6.75" customHeight="1"/>
    <row r="8" spans="1:17" s="25" customFormat="1" ht="20.45" customHeight="1">
      <c r="A8" s="204" t="s">
        <v>139</v>
      </c>
      <c r="B8" s="205"/>
      <c r="C8" s="30" t="str">
        <f>VLOOKUP(J8,Cus!A:B,2,FALSE)</f>
        <v>บริษัท พิทักษ์ธนทรัพย์ จำกัด</v>
      </c>
      <c r="D8" s="30"/>
      <c r="E8" s="30"/>
      <c r="F8" s="30"/>
      <c r="G8" s="27" t="s">
        <v>140</v>
      </c>
      <c r="H8" s="61">
        <v>505042</v>
      </c>
      <c r="I8" s="62"/>
      <c r="J8" s="58" t="str">
        <f>VLOOKUP(H8,Data!B:C,2,FALSE)</f>
        <v>A123</v>
      </c>
      <c r="K8" s="68" t="s">
        <v>1713</v>
      </c>
      <c r="L8" s="67">
        <f>COUNTIF(Data!$B:$B,Bill!$H$8)</f>
        <v>4</v>
      </c>
    </row>
    <row r="9" spans="1:17" s="25" customFormat="1" ht="20.45" customHeight="1">
      <c r="A9" s="26" t="s">
        <v>141</v>
      </c>
      <c r="C9" s="206" t="str">
        <f>VLOOKUP(J8,Cus!A:C,3,FALSE)</f>
        <v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v>
      </c>
      <c r="D9" s="206"/>
      <c r="E9" s="206"/>
      <c r="F9" s="207"/>
      <c r="G9" s="28" t="s">
        <v>142</v>
      </c>
      <c r="H9" s="208">
        <f>INDEX(Data!A:A,MATCH(Bill!H8,Data!B:B,0))</f>
        <v>45417</v>
      </c>
      <c r="I9" s="209"/>
    </row>
    <row r="10" spans="1:17" s="25" customFormat="1" ht="20.45" customHeight="1">
      <c r="A10" s="26" t="s">
        <v>143</v>
      </c>
      <c r="B10" s="34"/>
      <c r="C10" s="210">
        <f>VLOOKUP(J8,Cus!A:E,5,FALSE)</f>
        <v>135562018801</v>
      </c>
      <c r="D10" s="210"/>
      <c r="E10" s="35" t="s">
        <v>144</v>
      </c>
      <c r="F10" s="36">
        <f>VLOOKUP(J8,Cus!A:F,6,FALSE)</f>
        <v>1994585159</v>
      </c>
      <c r="G10" s="26"/>
      <c r="H10" s="37"/>
      <c r="I10" s="38"/>
    </row>
    <row r="11" spans="1:17" ht="3" customHeight="1">
      <c r="A11" s="39"/>
      <c r="B11" s="40"/>
      <c r="C11" s="40"/>
      <c r="D11" s="40"/>
      <c r="E11" s="40"/>
      <c r="F11" s="40"/>
      <c r="G11" s="39"/>
      <c r="H11" s="40"/>
      <c r="I11" s="41"/>
    </row>
    <row r="12" spans="1:17" ht="30.75" customHeight="1">
      <c r="A12" s="24" t="s">
        <v>145</v>
      </c>
      <c r="B12" s="211" t="s">
        <v>146</v>
      </c>
      <c r="C12" s="212"/>
      <c r="D12" s="212"/>
      <c r="E12" s="212"/>
      <c r="F12" s="213"/>
      <c r="G12" s="24" t="s">
        <v>147</v>
      </c>
      <c r="H12" s="24" t="s">
        <v>148</v>
      </c>
      <c r="I12" s="24" t="s">
        <v>149</v>
      </c>
      <c r="L12" s="6"/>
      <c r="M12" s="6"/>
    </row>
    <row r="13" spans="1:17" s="25" customFormat="1" ht="20.25" customHeight="1">
      <c r="A13" s="106">
        <f>ROW(A1)</f>
        <v>1</v>
      </c>
      <c r="B13" s="107" t="str" cm="1">
        <f t="array" ref="B13">IFERROR(IF($L$8&gt;=1,INDEX(Data!$E:$E,MATCH(1,(Data!$B:$B=Bill!$H$8)*(Data!$Q:$Q=Bill!$A13),0),1),0),"")</f>
        <v>076800013</v>
      </c>
      <c r="C13" s="203" t="str">
        <f>IFERROR(VLOOKUP(B13,ProductMaster!B:D,2,FALSE)," ")</f>
        <v>48-22-8336</v>
      </c>
      <c r="D13" s="203"/>
      <c r="E13" s="108" t="str">
        <f>IFERROR(VLOOKUP(B13,ProductMaster!B:D,3,FALSE)," ")</f>
        <v>PACKOUT Cup Holder</v>
      </c>
      <c r="F13" s="109"/>
      <c r="G13" s="110" cm="1">
        <f t="array" ref="G13">IFERROR(IF($L$8&gt;=1,INDEX(Data!$H:$H,MATCH(1,(Data!$B:$B=Bill!$H$8)*(Data!$Q:$Q=Bill!$A13),0),1),0),"")</f>
        <v>1</v>
      </c>
      <c r="H13" s="111" cm="1">
        <f t="array" ref="H13">IFERROR(IF($L$8&gt;=1,INDEX(Data!$I:$I,MATCH(1,(Data!$B:$B=Bill!$H$8)*(Data!$Q:$Q=Bill!$A13),0),1),0),"")</f>
        <v>362.61682242990656</v>
      </c>
      <c r="I13" s="111">
        <f>IF(ISERROR(G13*H13),"",G13*H13)</f>
        <v>362.61682242990656</v>
      </c>
      <c r="J13" s="25">
        <f>H13*1.07</f>
        <v>388.00000000000006</v>
      </c>
      <c r="L13" s="67" t="str">
        <f>IFERROR(VLOOKUP(B13,ProductMaster_iPST_iPower[[SKU]:[ProductGroup]],4,0),"")</f>
        <v>Accessories</v>
      </c>
      <c r="M13" s="68"/>
      <c r="N13" s="68" t="s">
        <v>548</v>
      </c>
      <c r="O13" s="69">
        <f>((SUMIF(L13:L27,N13,I13:I27))*1.07)</f>
        <v>0</v>
      </c>
    </row>
    <row r="14" spans="1:17" s="25" customFormat="1" ht="20.25" customHeight="1">
      <c r="A14" s="106">
        <f t="shared" ref="A14:A16" si="0">ROW(A2)</f>
        <v>2</v>
      </c>
      <c r="B14" s="112" t="str" cm="1">
        <f t="array" ref="B14">IFERROR(IF($L$8&gt;=1,INDEX(Data!$E:$E,MATCH(1,(Data!$B:$B=Bill!$H$8)*(Data!$Q:$Q=Bill!$A14),0),1),0),"")</f>
        <v>129305990</v>
      </c>
      <c r="C14" s="214" t="str">
        <f>IFERROR(VLOOKUP(B14,ProductMaster!B:D,2,FALSE)," ")</f>
        <v>48-22-8487</v>
      </c>
      <c r="D14" s="214"/>
      <c r="E14" s="113" t="str">
        <f>IFERROR(VLOOKUP(B14,ProductMaster!B:D,3,FALSE)," ")</f>
        <v>PACKOUT Large Mounting Plate</v>
      </c>
      <c r="F14" s="114"/>
      <c r="G14" s="115" cm="1">
        <f t="array" ref="G14">IFERROR(IF($L$8&gt;=1,INDEX(Data!$H:$H,MATCH(1,(Data!$B:$B=Bill!$H$8)*(Data!$Q:$Q=Bill!$A14),0),1),0),"")</f>
        <v>1</v>
      </c>
      <c r="H14" s="116" cm="1">
        <f t="array" ref="H14">IFERROR(IF($L$8&gt;=1,INDEX(Data!$I:$I,MATCH(1,(Data!$B:$B=Bill!$H$8)*(Data!$Q:$Q=Bill!$A14),0),1),0),"")</f>
        <v>2138.3177570093458</v>
      </c>
      <c r="I14" s="116">
        <f t="shared" ref="I14:I27" si="1">IF(ISERROR(G14*H14),"",G14*H14)</f>
        <v>2138.3177570093458</v>
      </c>
      <c r="J14" s="25">
        <f t="shared" ref="J14:J18" si="2">H14*1.07</f>
        <v>2288</v>
      </c>
      <c r="L14" s="67" t="str">
        <f>IFERROR(VLOOKUP(B14,ProductMaster_iPST_iPower[[SKU]:[ProductGroup]],4,0),"")</f>
        <v>Packout</v>
      </c>
      <c r="M14" s="68"/>
      <c r="N14" s="68" t="s">
        <v>171</v>
      </c>
      <c r="O14" s="69">
        <f>((SUMIF(L13:L27,N14,I13:I27))*1.07)</f>
        <v>388.00000000000006</v>
      </c>
    </row>
    <row r="15" spans="1:17" s="25" customFormat="1" ht="20.25" customHeight="1">
      <c r="A15" s="106">
        <f t="shared" si="0"/>
        <v>3</v>
      </c>
      <c r="B15" s="112" t="str" cm="1">
        <f t="array" ref="B15">IFERROR(IF($L$8&gt;=1,INDEX(Data!$E:$E,MATCH(1,(Data!$B:$B=Bill!$H$8)*(Data!$Q:$Q=Bill!$A15),0),1),0),"")</f>
        <v>129305469</v>
      </c>
      <c r="C15" s="214" t="str">
        <f>IFERROR(VLOOKUP(B15,ProductMaster!B:D,2,FALSE)," ")</f>
        <v>48-22-8422</v>
      </c>
      <c r="D15" s="214"/>
      <c r="E15" s="113" t="str">
        <f>IFERROR(VLOOKUP(B15,ProductMaster!B:D,3,FALSE)," ")</f>
        <v>กล่องเครื่องมือคอมแพ็ค PACKOUT</v>
      </c>
      <c r="F15" s="114"/>
      <c r="G15" s="115" cm="1">
        <f t="array" ref="G15">IFERROR(IF($L$8&gt;=1,INDEX(Data!$H:$H,MATCH(1,(Data!$B:$B=Bill!$H$8)*(Data!$Q:$Q=Bill!$A15),0),1),0),"")</f>
        <v>1</v>
      </c>
      <c r="H15" s="116" cm="1">
        <f t="array" ref="H15">IFERROR(IF($L$8&gt;=1,INDEX(Data!$I:$I,MATCH(1,(Data!$B:$B=Bill!$H$8)*(Data!$Q:$Q=Bill!$A15),0),1),0),"")</f>
        <v>3540.1869158878503</v>
      </c>
      <c r="I15" s="116">
        <f t="shared" si="1"/>
        <v>3540.1869158878503</v>
      </c>
      <c r="J15" s="25">
        <f t="shared" si="2"/>
        <v>3788</v>
      </c>
      <c r="L15" s="67" t="str">
        <f>IFERROR(VLOOKUP(B15,ProductMaster_iPST_iPower[[SKU]:[ProductGroup]],4,0),"")</f>
        <v>Packout</v>
      </c>
      <c r="M15" s="68"/>
      <c r="N15" s="68" t="s">
        <v>1714</v>
      </c>
      <c r="O15" s="69">
        <f>SUM(O13:O14)</f>
        <v>388.00000000000006</v>
      </c>
    </row>
    <row r="16" spans="1:17" s="25" customFormat="1" ht="20.25" customHeight="1">
      <c r="A16" s="106">
        <f t="shared" si="0"/>
        <v>4</v>
      </c>
      <c r="B16" s="112" t="str" cm="1">
        <f t="array" ref="B16">IFERROR(IF($L$8&gt;=1,INDEX(Data!$E:$E,MATCH(1,(Data!$B:$B=Bill!$H$8)*(Data!$Q:$Q=Bill!$A16),0),1),0),"")</f>
        <v>006138401</v>
      </c>
      <c r="C16" s="214" t="str">
        <f>IFERROR(VLOOKUP(B16,ProductMaster!B:D,2,FALSE)," ")</f>
        <v>48-22-8392R</v>
      </c>
      <c r="D16" s="214"/>
      <c r="E16" s="113" t="str">
        <f>IFERROR(VLOOKUP(B16,ProductMaster!B:D,3,FALSE)," ")</f>
        <v>แก้วเก็บความเย็น PACKOUT™  ขนาด 20 ออนซ์</v>
      </c>
      <c r="F16" s="114"/>
      <c r="G16" s="115" cm="1">
        <f t="array" ref="G16">IFERROR(IF($L$8&gt;=1,INDEX(Data!$H:$H,MATCH(1,(Data!$B:$B=Bill!$H$8)*(Data!$Q:$Q=Bill!$A16),0),1),0),"")</f>
        <v>1</v>
      </c>
      <c r="H16" s="116" cm="1">
        <f t="array" ref="H16">IFERROR(IF($L$8&gt;=1,INDEX(Data!$I:$I,MATCH(1,(Data!$B:$B=Bill!$H$8)*(Data!$Q:$Q=Bill!$A16),0),1),0),"")</f>
        <v>1110.2803738317757</v>
      </c>
      <c r="I16" s="116">
        <f t="shared" si="1"/>
        <v>1110.2803738317757</v>
      </c>
      <c r="J16" s="25">
        <f t="shared" si="2"/>
        <v>1188</v>
      </c>
      <c r="L16" s="67" t="str">
        <f>IFERROR(VLOOKUP(B16,ProductMaster_iPST_iPower[[SKU]:[ProductGroup]],4,0),"")</f>
        <v>Packout</v>
      </c>
      <c r="M16" s="68"/>
      <c r="N16" s="68"/>
      <c r="O16" s="70"/>
    </row>
    <row r="17" spans="1:17" s="25" customFormat="1" ht="20.25" customHeight="1">
      <c r="A17" s="106">
        <f t="shared" ref="A17:A27" si="3">ROW(B5)</f>
        <v>5</v>
      </c>
      <c r="B17" s="112" t="str" cm="1">
        <f t="array" ref="B17">IFERROR(IF($L$8&gt;=1,INDEX(Data!$E:$E,MATCH(1,(Data!$B:$B=Bill!$H$8)*(Data!$Q:$Q=Bill!$A17),0),1),0),"")</f>
        <v/>
      </c>
      <c r="C17" s="214" t="str">
        <f>IFERROR(VLOOKUP(B17,ProductMaster!B:D,2,FALSE)," ")</f>
        <v xml:space="preserve"> </v>
      </c>
      <c r="D17" s="214"/>
      <c r="E17" s="113" t="str">
        <f>IFERROR(VLOOKUP(B17,ProductMaster!B:D,3,FALSE)," ")</f>
        <v xml:space="preserve"> </v>
      </c>
      <c r="F17" s="114"/>
      <c r="G17" s="115" t="str" cm="1">
        <f t="array" ref="G17">IFERROR(IF($L$8&gt;=1,INDEX(Data!$H:$H,MATCH(1,(Data!$B:$B=Bill!$H$8)*(Data!$Q:$Q=Bill!$A17),0),1),0),"")</f>
        <v/>
      </c>
      <c r="H17" s="116" t="str" cm="1">
        <f t="array" ref="H17">IFERROR(IF($L$8&gt;=1,INDEX(Data!$I:$I,MATCH(1,(Data!$B:$B=Bill!$H$8)*(Data!$Q:$Q=Bill!$A17),0),1),0),"")</f>
        <v/>
      </c>
      <c r="I17" s="116" t="str">
        <f t="shared" si="1"/>
        <v/>
      </c>
      <c r="J17" s="25" t="e">
        <f t="shared" si="2"/>
        <v>#VALUE!</v>
      </c>
      <c r="L17" s="67" t="str">
        <f>IFERROR(VLOOKUP(B17,ProductMaster_iPST_iPower[[SKU]:[ProductGroup]],4,0),"")</f>
        <v/>
      </c>
      <c r="M17" s="68"/>
      <c r="N17" s="68"/>
      <c r="O17" s="70">
        <v>5888</v>
      </c>
    </row>
    <row r="18" spans="1:17" s="25" customFormat="1" ht="20.25" customHeight="1">
      <c r="A18" s="106">
        <f t="shared" si="3"/>
        <v>6</v>
      </c>
      <c r="B18" s="112" t="str" cm="1">
        <f t="array" ref="B18">IFERROR(IF($L$8&gt;=1,INDEX(Data!$E:$E,MATCH(1,(Data!$B:$B=Bill!$H$8)*(Data!$Q:$Q=Bill!$A18),0),1),0),"")</f>
        <v/>
      </c>
      <c r="C18" s="214" t="str">
        <f>IFERROR(VLOOKUP(B18,ProductMaster!B:D,2,FALSE)," ")</f>
        <v xml:space="preserve"> </v>
      </c>
      <c r="D18" s="214"/>
      <c r="E18" s="113" t="str">
        <f>IFERROR(VLOOKUP(B18,ProductMaster!B:D,3,FALSE)," ")</f>
        <v xml:space="preserve"> </v>
      </c>
      <c r="F18" s="114"/>
      <c r="G18" s="115" t="str" cm="1">
        <f t="array" ref="G18">IFERROR(IF($L$8&gt;=1,INDEX(Data!$H:$H,MATCH(1,(Data!$B:$B=Bill!$H$8)*(Data!$Q:$Q=Bill!$A18),0),1),0),"")</f>
        <v/>
      </c>
      <c r="H18" s="116" t="str" cm="1">
        <f t="array" ref="H18">IFERROR(IF($L$8&gt;=1,INDEX(Data!$I:$I,MATCH(1,(Data!$B:$B=Bill!$H$8)*(Data!$Q:$Q=Bill!$A18),0),1),0),"")</f>
        <v/>
      </c>
      <c r="I18" s="116" t="str">
        <f t="shared" si="1"/>
        <v/>
      </c>
      <c r="J18" s="25" t="e">
        <f t="shared" si="2"/>
        <v>#VALUE!</v>
      </c>
      <c r="L18" s="67" t="str">
        <f>IFERROR(VLOOKUP(B18,ProductMaster_iPST_iPower[[SKU]:[ProductGroup]],4,0),"")</f>
        <v/>
      </c>
      <c r="M18" s="68"/>
      <c r="N18" s="68"/>
      <c r="O18" s="70">
        <f>O17-O15</f>
        <v>5500</v>
      </c>
    </row>
    <row r="19" spans="1:17" s="25" customFormat="1" ht="20.25" customHeight="1">
      <c r="A19" s="106">
        <f t="shared" si="3"/>
        <v>7</v>
      </c>
      <c r="B19" s="112" t="str" cm="1">
        <f t="array" ref="B19">IFERROR(IF($L$8&gt;=1,INDEX(Data!$E:$E,MATCH(1,(Data!$B:$B=Bill!$H$8)*(Data!$Q:$Q=Bill!$A19),0),1),0),"")</f>
        <v/>
      </c>
      <c r="C19" s="214" t="str">
        <f>IFERROR(VLOOKUP(B19,ProductMaster!B:D,2,FALSE)," ")</f>
        <v xml:space="preserve"> </v>
      </c>
      <c r="D19" s="214"/>
      <c r="E19" s="113" t="str">
        <f>IFERROR(VLOOKUP(B19,ProductMaster!B:D,3,FALSE)," ")</f>
        <v xml:space="preserve"> </v>
      </c>
      <c r="F19" s="114"/>
      <c r="G19" s="115" t="str" cm="1">
        <f t="array" ref="G19">IFERROR(IF($L$8&gt;=1,INDEX(Data!$H:$H,MATCH(1,(Data!$B:$B=Bill!$H$8)*(Data!$Q:$Q=Bill!$A19),0),1),0),"")</f>
        <v/>
      </c>
      <c r="H19" s="116" t="str" cm="1">
        <f t="array" ref="H19">IFERROR(IF($L$8&gt;=1,INDEX(Data!$I:$I,MATCH(1,(Data!$B:$B=Bill!$H$8)*(Data!$Q:$Q=Bill!$A19),0),1),0),"")</f>
        <v/>
      </c>
      <c r="I19" s="116" t="str">
        <f t="shared" si="1"/>
        <v/>
      </c>
      <c r="J19" s="25" t="e">
        <f>H19*1.07</f>
        <v>#VALUE!</v>
      </c>
      <c r="L19" s="67" t="str">
        <f>IFERROR(VLOOKUP(B19,ProductMaster_iPST_iPower[[SKU]:[ProductGroup]],4,0),"")</f>
        <v/>
      </c>
      <c r="M19" s="68"/>
      <c r="N19" s="68"/>
      <c r="O19" s="70"/>
    </row>
    <row r="20" spans="1:17" s="25" customFormat="1" ht="20.25" customHeight="1">
      <c r="A20" s="106">
        <f t="shared" si="3"/>
        <v>8</v>
      </c>
      <c r="B20" s="112" t="str" cm="1">
        <f t="array" ref="B20">IFERROR(IF($L$8&gt;=1,INDEX(Data!$E:$E,MATCH(1,(Data!$B:$B=Bill!$H$8)*(Data!$Q:$Q=Bill!$A20),0),1),0),"")</f>
        <v/>
      </c>
      <c r="C20" s="214" t="str">
        <f>IFERROR(VLOOKUP(B20,ProductMaster!B:D,2,FALSE)," ")</f>
        <v xml:space="preserve"> </v>
      </c>
      <c r="D20" s="214"/>
      <c r="E20" s="113" t="str">
        <f>IFERROR(VLOOKUP(B20,ProductMaster!B:D,3,FALSE)," ")</f>
        <v xml:space="preserve"> </v>
      </c>
      <c r="F20" s="114"/>
      <c r="G20" s="115" t="str" cm="1">
        <f t="array" ref="G20">IFERROR(IF($L$8&gt;=1,INDEX(Data!$H:$H,MATCH(1,(Data!$B:$B=Bill!$H$8)*(Data!$Q:$Q=Bill!$A20),0),1),0),"")</f>
        <v/>
      </c>
      <c r="H20" s="116" t="str" cm="1">
        <f t="array" ref="H20">IFERROR(IF($L$8&gt;=1,INDEX(Data!$I:$I,MATCH(1,(Data!$B:$B=Bill!$H$8)*(Data!$Q:$Q=Bill!$A20),0),1),0),"")</f>
        <v/>
      </c>
      <c r="I20" s="116" t="str">
        <f t="shared" si="1"/>
        <v/>
      </c>
      <c r="L20" s="67" t="str">
        <f>IFERROR(VLOOKUP(B20,ProductMaster_iPST_iPower[[SKU]:[ProductGroup]],4,0),"")</f>
        <v/>
      </c>
      <c r="M20" s="68"/>
      <c r="N20" s="68"/>
      <c r="O20" s="70"/>
    </row>
    <row r="21" spans="1:17" s="25" customFormat="1" ht="20.25" customHeight="1">
      <c r="A21" s="106">
        <f t="shared" si="3"/>
        <v>9</v>
      </c>
      <c r="B21" s="112" t="str" cm="1">
        <f t="array" ref="B21">IFERROR(IF($L$8&gt;=1,INDEX(Data!$E:$E,MATCH(1,(Data!$B:$B=Bill!$H$8)*(Data!$Q:$Q=Bill!$A21),0),1),0),"")</f>
        <v/>
      </c>
      <c r="C21" s="214" t="str">
        <f>IFERROR(VLOOKUP(B21,ProductMaster!B:D,2,FALSE)," ")</f>
        <v xml:space="preserve"> </v>
      </c>
      <c r="D21" s="214"/>
      <c r="E21" s="113" t="str">
        <f>IFERROR(VLOOKUP(B21,ProductMaster!B:D,3,FALSE)," ")</f>
        <v xml:space="preserve"> </v>
      </c>
      <c r="F21" s="114"/>
      <c r="G21" s="115" t="str" cm="1">
        <f t="array" ref="G21">IFERROR(IF($L$8&gt;=1,INDEX(Data!$H:$H,MATCH(1,(Data!$B:$B=Bill!$H$8)*(Data!$Q:$Q=Bill!$A21),0),1),0),"")</f>
        <v/>
      </c>
      <c r="H21" s="116" t="str" cm="1">
        <f t="array" ref="H21">IFERROR(IF($L$8&gt;=1,INDEX(Data!$I:$I,MATCH(1,(Data!$B:$B=Bill!$H$8)*(Data!$Q:$Q=Bill!$A21),0),1),0),"")</f>
        <v/>
      </c>
      <c r="I21" s="116" t="str">
        <f t="shared" si="1"/>
        <v/>
      </c>
      <c r="J21" s="25">
        <f>216/2</f>
        <v>108</v>
      </c>
      <c r="L21" s="67" t="str">
        <f>IFERROR(VLOOKUP(B21,ProductMaster_iPST_iPower[[SKU]:[ProductGroup]],4,0),"")</f>
        <v/>
      </c>
      <c r="M21" s="68"/>
      <c r="N21" s="68"/>
      <c r="O21" s="70"/>
    </row>
    <row r="22" spans="1:17" s="25" customFormat="1" ht="20.25" customHeight="1">
      <c r="A22" s="106">
        <f t="shared" si="3"/>
        <v>10</v>
      </c>
      <c r="B22" s="112" t="str" cm="1">
        <f t="array" ref="B22">IFERROR(IF($L$8&gt;=1,INDEX(Data!$E:$E,MATCH(1,(Data!$B:$B=Bill!$H$8)*(Data!$Q:$Q=Bill!$A22),0),1),0),"")</f>
        <v/>
      </c>
      <c r="C22" s="214" t="str">
        <f>IFERROR(VLOOKUP(B22,ProductMaster!B:D,2,FALSE)," ")</f>
        <v xml:space="preserve"> </v>
      </c>
      <c r="D22" s="214"/>
      <c r="E22" s="113" t="str">
        <f>IFERROR(VLOOKUP(B22,ProductMaster!B:D,3,FALSE)," ")</f>
        <v xml:space="preserve"> </v>
      </c>
      <c r="F22" s="114"/>
      <c r="G22" s="115" t="str" cm="1">
        <f t="array" ref="G22">IFERROR(IF($L$8&gt;=1,INDEX(Data!$H:$H,MATCH(1,(Data!$B:$B=Bill!$H$8)*(Data!$Q:$Q=Bill!$A22),0),1),0),"")</f>
        <v/>
      </c>
      <c r="H22" s="116" t="str" cm="1">
        <f t="array" ref="H22">IFERROR(IF($L$8&gt;=1,INDEX(Data!$I:$I,MATCH(1,(Data!$B:$B=Bill!$H$8)*(Data!$Q:$Q=Bill!$A22),0),1),0),"")</f>
        <v/>
      </c>
      <c r="I22" s="116" t="str">
        <f t="shared" si="1"/>
        <v/>
      </c>
      <c r="J22" s="25">
        <f>J21/1.07</f>
        <v>100.93457943925233</v>
      </c>
      <c r="L22" s="67" t="str">
        <f>IFERROR(VLOOKUP(B22,ProductMaster_iPST_iPower[[SKU]:[ProductGroup]],4,0),"")</f>
        <v/>
      </c>
      <c r="M22" s="68"/>
      <c r="N22" s="68"/>
      <c r="O22" s="70"/>
    </row>
    <row r="23" spans="1:17" s="25" customFormat="1" ht="20.25" customHeight="1">
      <c r="A23" s="106">
        <f t="shared" si="3"/>
        <v>11</v>
      </c>
      <c r="B23" s="112" t="str" cm="1">
        <f t="array" ref="B23">IFERROR(IF($L$8&gt;=1,INDEX(Data!$E:$E,MATCH(1,(Data!$B:$B=Bill!$H$8)*(Data!$Q:$Q=Bill!$A23),0),1),0),"")</f>
        <v/>
      </c>
      <c r="C23" s="214" t="str">
        <f>IFERROR(VLOOKUP(B23,ProductMaster!B:D,2,FALSE)," ")</f>
        <v xml:space="preserve"> </v>
      </c>
      <c r="D23" s="214"/>
      <c r="E23" s="113" t="str">
        <f>IFERROR(VLOOKUP(B23,ProductMaster!B:D,3,FALSE)," ")</f>
        <v xml:space="preserve"> </v>
      </c>
      <c r="F23" s="114"/>
      <c r="G23" s="115" t="str" cm="1">
        <f t="array" ref="G23">IFERROR(IF($L$8&gt;=1,INDEX(Data!$H:$H,MATCH(1,(Data!$B:$B=Bill!$H$8)*(Data!$Q:$Q=Bill!$A23),0),1),0),"")</f>
        <v/>
      </c>
      <c r="H23" s="116" t="str" cm="1">
        <f t="array" ref="H23">IFERROR(IF($L$8&gt;=1,INDEX(Data!$I:$I,MATCH(1,(Data!$B:$B=Bill!$H$8)*(Data!$Q:$Q=Bill!$A23),0),1),0),"")</f>
        <v/>
      </c>
      <c r="I23" s="116" t="str">
        <f t="shared" si="1"/>
        <v/>
      </c>
      <c r="L23" s="67" t="str">
        <f>IFERROR(VLOOKUP(B23,ProductMaster_iPST_iPower[[SKU]:[ProductGroup]],4,0),"")</f>
        <v/>
      </c>
      <c r="M23" s="68"/>
      <c r="N23" s="68"/>
      <c r="O23" s="70"/>
    </row>
    <row r="24" spans="1:17" s="25" customFormat="1" ht="20.25" customHeight="1">
      <c r="A24" s="106">
        <f t="shared" si="3"/>
        <v>12</v>
      </c>
      <c r="B24" s="112" t="str" cm="1">
        <f t="array" ref="B24">IFERROR(IF($L$8&gt;=1,INDEX(Data!$E:$E,MATCH(1,(Data!$B:$B=Bill!$H$8)*(Data!$Q:$Q=Bill!$A24),0),1),0),"")</f>
        <v/>
      </c>
      <c r="C24" s="214" t="str">
        <f>IFERROR(VLOOKUP(B24,ProductMaster!B:D,2,FALSE)," ")</f>
        <v xml:space="preserve"> </v>
      </c>
      <c r="D24" s="214"/>
      <c r="E24" s="113" t="str">
        <f>IFERROR(VLOOKUP(B24,ProductMaster!B:D,3,FALSE)," ")</f>
        <v xml:space="preserve"> </v>
      </c>
      <c r="F24" s="114"/>
      <c r="G24" s="115" t="str" cm="1">
        <f t="array" ref="G24">IFERROR(IF($L$8&gt;=1,INDEX(Data!$H:$H,MATCH(1,(Data!$B:$B=Bill!$H$8)*(Data!$Q:$Q=Bill!$A24),0),1),0),"")</f>
        <v/>
      </c>
      <c r="H24" s="116" t="str" cm="1">
        <f t="array" ref="H24">IFERROR(IF($L$8&gt;=1,INDEX(Data!$I:$I,MATCH(1,(Data!$B:$B=Bill!$H$8)*(Data!$Q:$Q=Bill!$A24),0),1),0),"")</f>
        <v/>
      </c>
      <c r="I24" s="116" t="str">
        <f t="shared" ref="I24" si="4">IF(ISERROR(G24*H24),"",G24*H24)</f>
        <v/>
      </c>
      <c r="J24" s="25" t="e">
        <f>I24*1.07</f>
        <v>#VALUE!</v>
      </c>
      <c r="L24" s="67" t="str">
        <f>IFERROR(VLOOKUP(B24,ProductMaster_iPST_iPower[[SKU]:[ProductGroup]],4,0),"")</f>
        <v/>
      </c>
      <c r="M24" s="68"/>
      <c r="N24" s="68"/>
      <c r="O24" s="70"/>
    </row>
    <row r="25" spans="1:17" s="25" customFormat="1" ht="20.25" customHeight="1">
      <c r="A25" s="106">
        <f t="shared" si="3"/>
        <v>13</v>
      </c>
      <c r="B25" s="112" t="str" cm="1">
        <f t="array" ref="B25">IFERROR(IF($L$8&gt;=1,INDEX(Data!$E:$E,MATCH(1,(Data!$B:$B=Bill!$H$8)*(Data!$Q:$Q=Bill!$A25),0),1),0),"")</f>
        <v/>
      </c>
      <c r="C25" s="214" t="str">
        <f>IFERROR(VLOOKUP(B25,ProductMaster!B:D,2,FALSE)," ")</f>
        <v xml:space="preserve"> </v>
      </c>
      <c r="D25" s="214"/>
      <c r="E25" s="113" t="str">
        <f>IFERROR(VLOOKUP(B25,ProductMaster!B:D,3,FALSE)," ")</f>
        <v xml:space="preserve"> </v>
      </c>
      <c r="F25" s="114"/>
      <c r="G25" s="115" t="str" cm="1">
        <f t="array" ref="G25">IFERROR(IF($L$8&gt;=1,INDEX(Data!$H:$H,MATCH(1,(Data!$B:$B=Bill!$H$8)*(Data!$Q:$Q=Bill!$A25),0),1),0),"")</f>
        <v/>
      </c>
      <c r="H25" s="116" t="str" cm="1">
        <f t="array" ref="H25">IFERROR(IF($L$8&gt;=1,INDEX(Data!$I:$I,MATCH(1,(Data!$B:$B=Bill!$H$8)*(Data!$Q:$Q=Bill!$A25),0),1),0),"")</f>
        <v/>
      </c>
      <c r="I25" s="116" t="str">
        <f t="shared" si="1"/>
        <v/>
      </c>
      <c r="L25" s="67" t="str">
        <f>IFERROR(VLOOKUP(B25,ProductMaster_iPST_iPower[[SKU]:[ProductGroup]],4,0),"")</f>
        <v/>
      </c>
      <c r="M25" s="68"/>
      <c r="N25" s="68"/>
      <c r="O25" s="70"/>
    </row>
    <row r="26" spans="1:17" s="25" customFormat="1" ht="20.25" customHeight="1">
      <c r="A26" s="106">
        <f t="shared" si="3"/>
        <v>14</v>
      </c>
      <c r="B26" s="112" t="str" cm="1">
        <f t="array" ref="B26">IFERROR(IF($L$8&gt;=1,INDEX(Data!$E:$E,MATCH(1,(Data!$B:$B=Bill!$H$8)*(Data!$Q:$Q=Bill!$A26),0),1),0),"")</f>
        <v/>
      </c>
      <c r="C26" s="214" t="str">
        <f>IFERROR(VLOOKUP(B26,ProductMaster!B:D,2,FALSE)," ")</f>
        <v xml:space="preserve"> </v>
      </c>
      <c r="D26" s="214"/>
      <c r="E26" s="113" t="str">
        <f>IFERROR(VLOOKUP(B26,ProductMaster!B:D,3,FALSE)," ")</f>
        <v xml:space="preserve"> </v>
      </c>
      <c r="F26" s="114"/>
      <c r="G26" s="115" t="str" cm="1">
        <f t="array" ref="G26">IFERROR(IF($L$8&gt;=1,INDEX(Data!$H:$H,MATCH(1,(Data!$B:$B=Bill!$H$8)*(Data!$Q:$Q=Bill!$A26),0),1),0),"")</f>
        <v/>
      </c>
      <c r="H26" s="116" t="str" cm="1">
        <f t="array" ref="H26">IFERROR(IF($L$8&gt;=1,INDEX(Data!$I:$I,MATCH(1,(Data!$B:$B=Bill!$H$8)*(Data!$Q:$Q=Bill!$A26),0),1),0),"")</f>
        <v/>
      </c>
      <c r="I26" s="116" t="str">
        <f t="shared" si="1"/>
        <v/>
      </c>
      <c r="K26" s="29"/>
      <c r="L26" s="67" t="str">
        <f>IFERROR(VLOOKUP(B26,ProductMaster_iPST_iPower[[SKU]:[ProductGroup]],4,0),"")</f>
        <v/>
      </c>
      <c r="M26" s="68"/>
      <c r="N26" s="68"/>
      <c r="O26" s="70"/>
    </row>
    <row r="27" spans="1:17" s="25" customFormat="1" ht="20.25" customHeight="1">
      <c r="A27" s="106">
        <f t="shared" si="3"/>
        <v>15</v>
      </c>
      <c r="B27" s="112" t="str" cm="1">
        <f t="array" ref="B27">IFERROR(IF($L$8&gt;=1,INDEX(Data!$E:$E,MATCH(1,(Data!$B:$B=Bill!$H$8)*(Data!$Q:$Q=Bill!$A27),0),1),0),"")</f>
        <v/>
      </c>
      <c r="C27" s="214" t="str">
        <f>IFERROR(VLOOKUP(B27,ProductMaster!B:D,2,FALSE)," ")</f>
        <v xml:space="preserve"> </v>
      </c>
      <c r="D27" s="214"/>
      <c r="E27" s="113" t="str">
        <f>IFERROR(VLOOKUP(B27,ProductMaster!B:D,3,FALSE)," ")</f>
        <v xml:space="preserve"> </v>
      </c>
      <c r="F27" s="114"/>
      <c r="G27" s="115" t="str" cm="1">
        <f t="array" ref="G27">IFERROR(IF($L$8&gt;=1,INDEX(Data!$H:$H,MATCH(1,(Data!$B:$B=Bill!$H$8)*(Data!$Q:$Q=Bill!$A27),0),1),0),"")</f>
        <v/>
      </c>
      <c r="H27" s="116" t="str" cm="1">
        <f t="array" ref="H27">IFERROR(IF($L$8&gt;=1,INDEX(Data!$I:$I,MATCH(1,(Data!$B:$B=Bill!$H$8)*(Data!$Q:$Q=Bill!$A27),0),1),0),"")</f>
        <v/>
      </c>
      <c r="I27" s="116" t="str">
        <f t="shared" si="1"/>
        <v/>
      </c>
      <c r="K27" s="29"/>
      <c r="L27" s="67" t="str">
        <f>IFERROR(VLOOKUP(B27,ProductMaster_iPST_iPower[[SKU]:[ProductGroup]],4,0),"")</f>
        <v/>
      </c>
      <c r="M27" s="68"/>
      <c r="N27" s="68"/>
      <c r="O27" s="70"/>
    </row>
    <row r="28" spans="1:17" s="3" customFormat="1" ht="5.45" customHeight="1">
      <c r="A28" s="7"/>
      <c r="B28" s="215"/>
      <c r="C28" s="216"/>
      <c r="D28" s="49"/>
      <c r="E28" s="49"/>
      <c r="F28" s="12"/>
      <c r="G28" s="7"/>
      <c r="H28" s="14"/>
      <c r="I28" s="14"/>
      <c r="K28" s="65"/>
    </row>
    <row r="29" spans="1:17" s="3" customFormat="1" ht="25.7" customHeight="1">
      <c r="A29" s="42" t="s">
        <v>150</v>
      </c>
      <c r="B29" s="6"/>
      <c r="C29" s="48" t="str">
        <f>_xlfn.IFS(O15&gt;5888,"สิทธิรับฟรี กระเป๋าช่างไฟฟ้า จำนวน 1 ชิ้น",O15&gt;2888,"สิทธิรับฟรี มีดคัทเตอร์ขนาดพกพา จำนวน 1 ชิ้น",TRUE,"")</f>
        <v/>
      </c>
      <c r="D29" s="6"/>
      <c r="E29" s="6"/>
      <c r="F29" s="6"/>
      <c r="G29" s="25" t="s">
        <v>151</v>
      </c>
      <c r="H29" s="25"/>
      <c r="I29" s="117">
        <f>ROUND(SUM(I13:I28),2)</f>
        <v>7151.4</v>
      </c>
      <c r="K29" s="66">
        <f>SUMIF(Data!B:B,Bill!H8,Data!K:K)</f>
        <v>7151.41</v>
      </c>
      <c r="L29" s="64">
        <f>I29-K29</f>
        <v>-1.0000000000218279E-2</v>
      </c>
      <c r="M29" s="25"/>
    </row>
    <row r="30" spans="1:17" s="3" customFormat="1" ht="25.7" customHeight="1">
      <c r="A30" s="43" t="s">
        <v>152</v>
      </c>
      <c r="B30" s="6"/>
      <c r="C30" s="13"/>
      <c r="D30" s="13"/>
      <c r="E30" s="13"/>
      <c r="F30" s="13"/>
      <c r="G30" s="25" t="s">
        <v>153</v>
      </c>
      <c r="H30" s="25"/>
      <c r="I30" s="117">
        <f>ROUND(I29*0.07,2)</f>
        <v>500.6</v>
      </c>
      <c r="L30" s="25"/>
      <c r="M30" s="25"/>
    </row>
    <row r="31" spans="1:17" s="3" customFormat="1" ht="25.7" customHeight="1">
      <c r="A31" s="42" t="s">
        <v>154</v>
      </c>
      <c r="C31" s="33" t="str">
        <f>INDEX(Data!M:M,MATCH(Bill!H8,Data!B:B,0))</f>
        <v>Transfer</v>
      </c>
      <c r="D31" s="6"/>
      <c r="E31" s="6"/>
      <c r="F31" s="6"/>
      <c r="G31" s="25" t="s">
        <v>155</v>
      </c>
      <c r="H31" s="25"/>
      <c r="I31" s="117">
        <f>ROUND(SUM(I29:I30),2)</f>
        <v>7652</v>
      </c>
      <c r="K31" s="60"/>
      <c r="L31" s="25"/>
      <c r="M31" s="25"/>
      <c r="Q31" s="3">
        <f>256-300</f>
        <v>-44</v>
      </c>
    </row>
    <row r="32" spans="1:17" s="3" customFormat="1" ht="25.7" customHeight="1">
      <c r="A32" s="44"/>
      <c r="B32" s="25"/>
      <c r="C32" s="25"/>
      <c r="D32" s="25"/>
      <c r="E32" s="6"/>
      <c r="F32" s="6"/>
      <c r="G32" s="25" t="s">
        <v>156</v>
      </c>
      <c r="H32" s="25"/>
      <c r="I32" s="118"/>
      <c r="J32" s="32"/>
      <c r="K32" s="31"/>
      <c r="L32" s="25"/>
      <c r="M32" s="25"/>
    </row>
    <row r="33" spans="1:15" s="3" customFormat="1" ht="26.45" customHeight="1">
      <c r="A33" s="217" t="s">
        <v>157</v>
      </c>
      <c r="B33" s="218"/>
      <c r="C33" s="219" t="str">
        <f>BAHTTEXT(I33)</f>
        <v>เจ็ดพันหกร้อยห้าสิบสองบาทถ้วน</v>
      </c>
      <c r="D33" s="220"/>
      <c r="E33" s="220"/>
      <c r="F33" s="221"/>
      <c r="G33" s="45" t="s">
        <v>158</v>
      </c>
      <c r="H33" s="45"/>
      <c r="I33" s="119">
        <f>ROUND(I31-I32,2)</f>
        <v>7652</v>
      </c>
      <c r="L33" s="182"/>
      <c r="M33" s="25"/>
      <c r="N33" s="172"/>
      <c r="O33" s="3">
        <f>500-308</f>
        <v>192</v>
      </c>
    </row>
    <row r="34" spans="1:15" s="3" customFormat="1">
      <c r="A34" s="9"/>
      <c r="B34" s="9"/>
      <c r="C34" s="9"/>
      <c r="D34" s="9"/>
      <c r="E34" s="9"/>
      <c r="F34" s="9"/>
      <c r="G34" s="9"/>
      <c r="H34" s="9"/>
      <c r="I34" s="10"/>
      <c r="K34" s="8"/>
      <c r="L34" s="25"/>
      <c r="M34" s="25"/>
    </row>
    <row r="35" spans="1:15" s="4" customFormat="1" ht="24.95" customHeight="1">
      <c r="B35" s="6"/>
      <c r="C35" s="9" t="s">
        <v>159</v>
      </c>
      <c r="D35" s="6" t="str">
        <f>VLOOKUP(H8,Data!B:P,15,FALSE)</f>
        <v>Tax Invoice</v>
      </c>
      <c r="E35" s="6"/>
      <c r="F35" s="6"/>
      <c r="G35" s="6"/>
      <c r="H35" s="6"/>
      <c r="I35" s="6"/>
      <c r="L35" s="25"/>
      <c r="M35" s="25"/>
    </row>
    <row r="36" spans="1:15" s="4" customFormat="1" ht="28.5">
      <c r="B36" s="6"/>
      <c r="C36" s="6"/>
      <c r="D36" s="59"/>
      <c r="E36" s="6"/>
      <c r="F36" s="6"/>
      <c r="G36" s="46" t="s">
        <v>160</v>
      </c>
      <c r="H36" s="40"/>
      <c r="I36" s="40"/>
      <c r="L36" s="25"/>
      <c r="M36" s="25"/>
    </row>
    <row r="37" spans="1:15" s="2" customFormat="1" ht="24.95" customHeight="1">
      <c r="A37" s="6"/>
      <c r="B37" s="6"/>
      <c r="C37" s="6"/>
      <c r="D37" s="6"/>
      <c r="E37" s="6"/>
      <c r="F37" s="6"/>
      <c r="G37" s="6"/>
      <c r="H37" s="6"/>
      <c r="I37" s="6"/>
      <c r="K37" s="1"/>
      <c r="L37" s="25"/>
      <c r="M37" s="25"/>
    </row>
    <row r="38" spans="1:15">
      <c r="C38" s="15" t="s">
        <v>130</v>
      </c>
      <c r="D38" s="15"/>
      <c r="E38" s="15"/>
      <c r="F38" s="15"/>
      <c r="I38" s="16" t="s">
        <v>161</v>
      </c>
    </row>
    <row r="39" spans="1:15" ht="26.25">
      <c r="A39" s="11"/>
      <c r="B39" s="1"/>
      <c r="C39" s="15" t="s">
        <v>132</v>
      </c>
      <c r="D39" s="15"/>
      <c r="E39" s="15"/>
      <c r="F39" s="15"/>
      <c r="G39" s="1"/>
      <c r="H39" s="1"/>
      <c r="I39" s="17" t="s">
        <v>162</v>
      </c>
    </row>
    <row r="40" spans="1:15" ht="20.25">
      <c r="A40" s="18" t="s">
        <v>134</v>
      </c>
      <c r="B40" s="19"/>
      <c r="C40" s="19"/>
      <c r="D40" s="19"/>
      <c r="E40" s="19"/>
      <c r="F40" s="19"/>
      <c r="G40" s="19"/>
      <c r="H40" s="19"/>
      <c r="I40" s="19"/>
    </row>
    <row r="41" spans="1:15" ht="20.25">
      <c r="A41" s="18" t="s">
        <v>135</v>
      </c>
      <c r="B41" s="19"/>
      <c r="C41" s="19"/>
      <c r="D41" s="19"/>
      <c r="E41" s="19"/>
      <c r="F41" s="19"/>
      <c r="G41" s="19"/>
      <c r="H41" s="19"/>
      <c r="I41" s="19"/>
    </row>
    <row r="42" spans="1:15" ht="20.25">
      <c r="A42" s="18" t="s">
        <v>136</v>
      </c>
      <c r="B42" s="19"/>
      <c r="C42" s="19"/>
      <c r="D42" s="19"/>
      <c r="E42" s="19"/>
      <c r="F42" s="19"/>
      <c r="G42" s="19"/>
      <c r="H42" s="19"/>
      <c r="I42" s="19"/>
    </row>
    <row r="43" spans="1:15" ht="20.25">
      <c r="A43" s="20" t="s">
        <v>137</v>
      </c>
      <c r="B43" s="20"/>
      <c r="C43" s="20"/>
      <c r="D43" s="20"/>
      <c r="E43" s="20"/>
      <c r="F43" s="20"/>
      <c r="G43" s="22"/>
      <c r="H43" s="20"/>
      <c r="I43" s="23" t="s">
        <v>163</v>
      </c>
    </row>
    <row r="44" spans="1:15" ht="6.75" customHeight="1"/>
    <row r="45" spans="1:15" ht="20.25">
      <c r="A45" s="204" t="s">
        <v>139</v>
      </c>
      <c r="B45" s="205"/>
      <c r="C45" s="30" t="str">
        <f>C8</f>
        <v>บริษัท พิทักษ์ธนทรัพย์ จำกัด</v>
      </c>
      <c r="D45" s="30"/>
      <c r="E45" s="30"/>
      <c r="F45" s="30"/>
      <c r="G45" s="27" t="s">
        <v>140</v>
      </c>
      <c r="H45" s="222">
        <f>H8</f>
        <v>505042</v>
      </c>
      <c r="I45" s="223"/>
    </row>
    <row r="46" spans="1:15" ht="20.25">
      <c r="A46" s="26" t="s">
        <v>141</v>
      </c>
      <c r="B46" s="25"/>
      <c r="C46" s="206" t="str">
        <f>C9</f>
        <v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v>
      </c>
      <c r="D46" s="206"/>
      <c r="E46" s="206"/>
      <c r="F46" s="207"/>
      <c r="G46" s="28" t="s">
        <v>142</v>
      </c>
      <c r="H46" s="208">
        <f>H9</f>
        <v>45417</v>
      </c>
      <c r="I46" s="209"/>
    </row>
    <row r="47" spans="1:15" ht="20.25">
      <c r="A47" s="26" t="s">
        <v>143</v>
      </c>
      <c r="B47" s="34"/>
      <c r="C47" s="210">
        <f>C10</f>
        <v>135562018801</v>
      </c>
      <c r="D47" s="210"/>
      <c r="E47" s="35" t="s">
        <v>144</v>
      </c>
      <c r="F47" s="36">
        <f>F10</f>
        <v>1994585159</v>
      </c>
      <c r="G47" s="26"/>
      <c r="H47" s="37"/>
      <c r="I47" s="38"/>
    </row>
    <row r="48" spans="1:15" ht="2.4500000000000002" customHeight="1">
      <c r="A48" s="39"/>
      <c r="B48" s="40"/>
      <c r="C48" s="40"/>
      <c r="D48" s="40"/>
      <c r="E48" s="40"/>
      <c r="F48" s="40"/>
      <c r="G48" s="39"/>
      <c r="H48" s="40"/>
      <c r="I48" s="41"/>
    </row>
    <row r="49" spans="1:9" ht="30">
      <c r="A49" s="24" t="s">
        <v>145</v>
      </c>
      <c r="B49" s="211" t="s">
        <v>146</v>
      </c>
      <c r="C49" s="212"/>
      <c r="D49" s="212"/>
      <c r="E49" s="212"/>
      <c r="F49" s="213"/>
      <c r="G49" s="24" t="s">
        <v>147</v>
      </c>
      <c r="H49" s="24" t="s">
        <v>148</v>
      </c>
      <c r="I49" s="24" t="s">
        <v>149</v>
      </c>
    </row>
    <row r="50" spans="1:9" ht="20.25">
      <c r="A50" s="110">
        <f>ROW(A1)</f>
        <v>1</v>
      </c>
      <c r="B50" s="107" t="str" cm="1">
        <f t="array" ref="B50">IFERROR(IF($L$8&gt;=1,INDEX(Data!$E:$E,MATCH(1,(Data!$B:$B=Bill!$H$8)*(Data!$Q:$Q=Bill!$A50),0),1),0),"")</f>
        <v>076800013</v>
      </c>
      <c r="C50" s="203" t="str">
        <f>IFERROR(VLOOKUP(B50,ProductMaster!B:D,2,FALSE)," ")</f>
        <v>48-22-8336</v>
      </c>
      <c r="D50" s="203"/>
      <c r="E50" s="108" t="str">
        <f>IFERROR(VLOOKUP(B50,ProductMaster!B:D,3,FALSE)," ")</f>
        <v>PACKOUT Cup Holder</v>
      </c>
      <c r="F50" s="120"/>
      <c r="G50" s="110" cm="1">
        <f t="array" ref="G50">IFERROR(IF($L$8&gt;=1,INDEX(Data!$H:$H,MATCH(1,(Data!$B:$B=Bill!$H$8)*(Data!$Q:$Q=Bill!$A50),0),1),0),"")</f>
        <v>1</v>
      </c>
      <c r="H50" s="111" cm="1">
        <f t="array" ref="H50">IFERROR(IF($L$8&gt;=1,INDEX(Data!$I:$I,MATCH(1,(Data!$B:$B=Bill!$H$8)*(Data!$Q:$Q=Bill!$A50),0),1),0),"")</f>
        <v>362.61682242990656</v>
      </c>
      <c r="I50" s="111">
        <f>IF(ISERROR(G50*H50),"",G50*H50)</f>
        <v>362.61682242990656</v>
      </c>
    </row>
    <row r="51" spans="1:9" ht="20.25">
      <c r="A51" s="115">
        <f t="shared" ref="A51:A64" si="5">ROW(A2)</f>
        <v>2</v>
      </c>
      <c r="B51" s="112" t="str" cm="1">
        <f t="array" ref="B51">IFERROR(IF($L$8&gt;=1,INDEX(Data!$E:$E,MATCH(1,(Data!$B:$B=Bill!$H$8)*(Data!$Q:$Q=Bill!$A51),0),1),0),"")</f>
        <v>129305990</v>
      </c>
      <c r="C51" s="214" t="str">
        <f>IFERROR(VLOOKUP(B51,ProductMaster!B:D,2,FALSE)," ")</f>
        <v>48-22-8487</v>
      </c>
      <c r="D51" s="214"/>
      <c r="E51" s="113" t="str">
        <f>IFERROR(VLOOKUP(B51,ProductMaster!B:D,3,FALSE)," ")</f>
        <v>PACKOUT Large Mounting Plate</v>
      </c>
      <c r="F51" s="121"/>
      <c r="G51" s="115" cm="1">
        <f t="array" ref="G51">IFERROR(IF($L$8&gt;=1,INDEX(Data!$H:$H,MATCH(1,(Data!$B:$B=Bill!$H$8)*(Data!$Q:$Q=Bill!$A51),0),1),0),"")</f>
        <v>1</v>
      </c>
      <c r="H51" s="116" cm="1">
        <f t="array" ref="H51">IFERROR(IF($L$8&gt;=1,INDEX(Data!$I:$I,MATCH(1,(Data!$B:$B=Bill!$H$8)*(Data!$Q:$Q=Bill!$A51),0),1),0),"")</f>
        <v>2138.3177570093458</v>
      </c>
      <c r="I51" s="116">
        <f t="shared" ref="I51:I64" si="6">IF(ISERROR(G51*H51),"",G51*H51)</f>
        <v>2138.3177570093458</v>
      </c>
    </row>
    <row r="52" spans="1:9" ht="20.25">
      <c r="A52" s="115">
        <f t="shared" si="5"/>
        <v>3</v>
      </c>
      <c r="B52" s="112" t="str" cm="1">
        <f t="array" ref="B52">IFERROR(IF($L$8&gt;=1,INDEX(Data!$E:$E,MATCH(1,(Data!$B:$B=Bill!$H$8)*(Data!$Q:$Q=Bill!$A52),0),1),0),"")</f>
        <v>129305469</v>
      </c>
      <c r="C52" s="214" t="str">
        <f>IFERROR(VLOOKUP(B52,ProductMaster!B:D,2,FALSE)," ")</f>
        <v>48-22-8422</v>
      </c>
      <c r="D52" s="214"/>
      <c r="E52" s="113" t="str">
        <f>IFERROR(VLOOKUP(B52,ProductMaster!B:D,3,FALSE)," ")</f>
        <v>กล่องเครื่องมือคอมแพ็ค PACKOUT</v>
      </c>
      <c r="F52" s="121"/>
      <c r="G52" s="115" cm="1">
        <f t="array" ref="G52">IFERROR(IF($L$8&gt;=1,INDEX(Data!$H:$H,MATCH(1,(Data!$B:$B=Bill!$H$8)*(Data!$Q:$Q=Bill!$A52),0),1),0),"")</f>
        <v>1</v>
      </c>
      <c r="H52" s="116" cm="1">
        <f t="array" ref="H52">IFERROR(IF($L$8&gt;=1,INDEX(Data!$I:$I,MATCH(1,(Data!$B:$B=Bill!$H$8)*(Data!$Q:$Q=Bill!$A52),0),1),0),"")</f>
        <v>3540.1869158878503</v>
      </c>
      <c r="I52" s="116">
        <f t="shared" si="6"/>
        <v>3540.1869158878503</v>
      </c>
    </row>
    <row r="53" spans="1:9" ht="20.25">
      <c r="A53" s="115">
        <f t="shared" si="5"/>
        <v>4</v>
      </c>
      <c r="B53" s="112" t="str" cm="1">
        <f t="array" ref="B53">IFERROR(IF($L$8&gt;=1,INDEX(Data!$E:$E,MATCH(1,(Data!$B:$B=Bill!$H$8)*(Data!$Q:$Q=Bill!$A53),0),1),0),"")</f>
        <v>006138401</v>
      </c>
      <c r="C53" s="214" t="str">
        <f>IFERROR(VLOOKUP(B53,ProductMaster!B:D,2,FALSE)," ")</f>
        <v>48-22-8392R</v>
      </c>
      <c r="D53" s="214"/>
      <c r="E53" s="113" t="str">
        <f>IFERROR(VLOOKUP(B53,ProductMaster!B:D,3,FALSE)," ")</f>
        <v>แก้วเก็บความเย็น PACKOUT™  ขนาด 20 ออนซ์</v>
      </c>
      <c r="F53" s="121"/>
      <c r="G53" s="115" cm="1">
        <f t="array" ref="G53">IFERROR(IF($L$8&gt;=1,INDEX(Data!$H:$H,MATCH(1,(Data!$B:$B=Bill!$H$8)*(Data!$Q:$Q=Bill!$A53),0),1),0),"")</f>
        <v>1</v>
      </c>
      <c r="H53" s="116" cm="1">
        <f t="array" ref="H53">IFERROR(IF($L$8&gt;=1,INDEX(Data!$I:$I,MATCH(1,(Data!$B:$B=Bill!$H$8)*(Data!$Q:$Q=Bill!$A53),0),1),0),"")</f>
        <v>1110.2803738317757</v>
      </c>
      <c r="I53" s="116">
        <f t="shared" si="6"/>
        <v>1110.2803738317757</v>
      </c>
    </row>
    <row r="54" spans="1:9" ht="20.25">
      <c r="A54" s="115">
        <f t="shared" si="5"/>
        <v>5</v>
      </c>
      <c r="B54" s="112" t="str" cm="1">
        <f t="array" ref="B54">IFERROR(IF($L$8&gt;=1,INDEX(Data!$E:$E,MATCH(1,(Data!$B:$B=Bill!$H$8)*(Data!$Q:$Q=Bill!$A54),0),1),0),"")</f>
        <v/>
      </c>
      <c r="C54" s="214" t="str">
        <f>IFERROR(VLOOKUP(B54,ProductMaster!B:D,2,FALSE)," ")</f>
        <v xml:space="preserve"> </v>
      </c>
      <c r="D54" s="214"/>
      <c r="E54" s="113" t="str">
        <f>IFERROR(VLOOKUP(B54,ProductMaster!B:D,3,FALSE)," ")</f>
        <v xml:space="preserve"> </v>
      </c>
      <c r="F54" s="121"/>
      <c r="G54" s="115" t="str" cm="1">
        <f t="array" ref="G54">IFERROR(IF($L$8&gt;=1,INDEX(Data!$H:$H,MATCH(1,(Data!$B:$B=Bill!$H$8)*(Data!$Q:$Q=Bill!$A54),0),1),0),"")</f>
        <v/>
      </c>
      <c r="H54" s="116" t="str" cm="1">
        <f t="array" ref="H54">IFERROR(IF($L$8&gt;=1,INDEX(Data!$I:$I,MATCH(1,(Data!$B:$B=Bill!$H$8)*(Data!$Q:$Q=Bill!$A54),0),1),0),"")</f>
        <v/>
      </c>
      <c r="I54" s="116" t="str">
        <f t="shared" si="6"/>
        <v/>
      </c>
    </row>
    <row r="55" spans="1:9" ht="20.25">
      <c r="A55" s="115">
        <f t="shared" si="5"/>
        <v>6</v>
      </c>
      <c r="B55" s="112" t="str" cm="1">
        <f t="array" ref="B55">IFERROR(IF($L$8&gt;=1,INDEX(Data!$E:$E,MATCH(1,(Data!$B:$B=Bill!$H$8)*(Data!$Q:$Q=Bill!$A55),0),1),0),"")</f>
        <v/>
      </c>
      <c r="C55" s="214" t="str">
        <f>IFERROR(VLOOKUP(B55,ProductMaster!B:D,2,FALSE)," ")</f>
        <v xml:space="preserve"> </v>
      </c>
      <c r="D55" s="214"/>
      <c r="E55" s="113" t="str">
        <f>IFERROR(VLOOKUP(B55,ProductMaster!B:D,3,FALSE)," ")</f>
        <v xml:space="preserve"> </v>
      </c>
      <c r="F55" s="121"/>
      <c r="G55" s="115" t="str" cm="1">
        <f t="array" ref="G55">IFERROR(IF($L$8&gt;=1,INDEX(Data!$H:$H,MATCH(1,(Data!$B:$B=Bill!$H$8)*(Data!$Q:$Q=Bill!$A55),0),1),0),"")</f>
        <v/>
      </c>
      <c r="H55" s="116" t="str" cm="1">
        <f t="array" ref="H55">IFERROR(IF($L$8&gt;=1,INDEX(Data!$I:$I,MATCH(1,(Data!$B:$B=Bill!$H$8)*(Data!$Q:$Q=Bill!$A55),0),1),0),"")</f>
        <v/>
      </c>
      <c r="I55" s="116" t="str">
        <f t="shared" si="6"/>
        <v/>
      </c>
    </row>
    <row r="56" spans="1:9" ht="20.25">
      <c r="A56" s="115">
        <f t="shared" si="5"/>
        <v>7</v>
      </c>
      <c r="B56" s="112" t="str" cm="1">
        <f t="array" ref="B56">IFERROR(IF($L$8&gt;=1,INDEX(Data!$E:$E,MATCH(1,(Data!$B:$B=Bill!$H$8)*(Data!$Q:$Q=Bill!$A56),0),1),0),"")</f>
        <v/>
      </c>
      <c r="C56" s="214" t="str">
        <f>IFERROR(VLOOKUP(B56,ProductMaster!B:D,2,FALSE)," ")</f>
        <v xml:space="preserve"> </v>
      </c>
      <c r="D56" s="214"/>
      <c r="E56" s="113" t="str">
        <f>IFERROR(VLOOKUP(B56,ProductMaster!B:D,3,FALSE)," ")</f>
        <v xml:space="preserve"> </v>
      </c>
      <c r="F56" s="121"/>
      <c r="G56" s="115" t="str" cm="1">
        <f t="array" ref="G56">IFERROR(IF($L$8&gt;=1,INDEX(Data!$H:$H,MATCH(1,(Data!$B:$B=Bill!$H$8)*(Data!$Q:$Q=Bill!$A56),0),1),0),"")</f>
        <v/>
      </c>
      <c r="H56" s="116" t="str" cm="1">
        <f t="array" ref="H56">IFERROR(IF($L$8&gt;=1,INDEX(Data!$I:$I,MATCH(1,(Data!$B:$B=Bill!$H$8)*(Data!$Q:$Q=Bill!$A56),0),1),0),"")</f>
        <v/>
      </c>
      <c r="I56" s="116" t="str">
        <f t="shared" si="6"/>
        <v/>
      </c>
    </row>
    <row r="57" spans="1:9" ht="20.25">
      <c r="A57" s="115">
        <f t="shared" si="5"/>
        <v>8</v>
      </c>
      <c r="B57" s="112" t="str" cm="1">
        <f t="array" ref="B57">IFERROR(IF($L$8&gt;=1,INDEX(Data!$E:$E,MATCH(1,(Data!$B:$B=Bill!$H$8)*(Data!$Q:$Q=Bill!$A57),0),1),0),"")</f>
        <v/>
      </c>
      <c r="C57" s="214" t="str">
        <f>IFERROR(VLOOKUP(B57,ProductMaster!B:D,2,FALSE)," ")</f>
        <v xml:space="preserve"> </v>
      </c>
      <c r="D57" s="214"/>
      <c r="E57" s="113" t="str">
        <f>IFERROR(VLOOKUP(B57,ProductMaster!B:D,3,FALSE)," ")</f>
        <v xml:space="preserve"> </v>
      </c>
      <c r="F57" s="121"/>
      <c r="G57" s="115" t="str" cm="1">
        <f t="array" ref="G57">IFERROR(IF($L$8&gt;=1,INDEX(Data!$H:$H,MATCH(1,(Data!$B:$B=Bill!$H$8)*(Data!$Q:$Q=Bill!$A57),0),1),0),"")</f>
        <v/>
      </c>
      <c r="H57" s="116" t="str" cm="1">
        <f t="array" ref="H57">IFERROR(IF($L$8&gt;=1,INDEX(Data!$I:$I,MATCH(1,(Data!$B:$B=Bill!$H$8)*(Data!$Q:$Q=Bill!$A57),0),1),0),"")</f>
        <v/>
      </c>
      <c r="I57" s="116" t="str">
        <f t="shared" si="6"/>
        <v/>
      </c>
    </row>
    <row r="58" spans="1:9" ht="20.25">
      <c r="A58" s="115">
        <f t="shared" si="5"/>
        <v>9</v>
      </c>
      <c r="B58" s="112" t="str" cm="1">
        <f t="array" ref="B58">IFERROR(IF($L$8&gt;=1,INDEX(Data!$E:$E,MATCH(1,(Data!$B:$B=Bill!$H$8)*(Data!$Q:$Q=Bill!$A58),0),1),0),"")</f>
        <v/>
      </c>
      <c r="C58" s="214" t="str">
        <f>IFERROR(VLOOKUP(B58,ProductMaster!B:D,2,FALSE)," ")</f>
        <v xml:space="preserve"> </v>
      </c>
      <c r="D58" s="214"/>
      <c r="E58" s="113" t="str">
        <f>IFERROR(VLOOKUP(B58,ProductMaster!B:D,3,FALSE)," ")</f>
        <v xml:space="preserve"> </v>
      </c>
      <c r="F58" s="121"/>
      <c r="G58" s="115" t="str" cm="1">
        <f t="array" ref="G58">IFERROR(IF($L$8&gt;=1,INDEX(Data!$H:$H,MATCH(1,(Data!$B:$B=Bill!$H$8)*(Data!$Q:$Q=Bill!$A58),0),1),0),"")</f>
        <v/>
      </c>
      <c r="H58" s="116" t="str" cm="1">
        <f t="array" ref="H58">IFERROR(IF($L$8&gt;=1,INDEX(Data!$I:$I,MATCH(1,(Data!$B:$B=Bill!$H$8)*(Data!$Q:$Q=Bill!$A58),0),1),0),"")</f>
        <v/>
      </c>
      <c r="I58" s="116" t="str">
        <f t="shared" si="6"/>
        <v/>
      </c>
    </row>
    <row r="59" spans="1:9" ht="20.25">
      <c r="A59" s="115">
        <f t="shared" si="5"/>
        <v>10</v>
      </c>
      <c r="B59" s="112" t="str" cm="1">
        <f t="array" ref="B59">IFERROR(IF($L$8&gt;=1,INDEX(Data!$E:$E,MATCH(1,(Data!$B:$B=Bill!$H$8)*(Data!$Q:$Q=Bill!$A59),0),1),0),"")</f>
        <v/>
      </c>
      <c r="C59" s="214" t="str">
        <f>IFERROR(VLOOKUP(B59,ProductMaster!B:D,2,FALSE)," ")</f>
        <v xml:space="preserve"> </v>
      </c>
      <c r="D59" s="214"/>
      <c r="E59" s="113" t="str">
        <f>IFERROR(VLOOKUP(B59,ProductMaster!B:D,3,FALSE)," ")</f>
        <v xml:space="preserve"> </v>
      </c>
      <c r="F59" s="121"/>
      <c r="G59" s="115" t="str" cm="1">
        <f t="array" ref="G59">IFERROR(IF($L$8&gt;=1,INDEX(Data!$H:$H,MATCH(1,(Data!$B:$B=Bill!$H$8)*(Data!$Q:$Q=Bill!$A59),0),1),0),"")</f>
        <v/>
      </c>
      <c r="H59" s="116" t="str" cm="1">
        <f t="array" ref="H59">IFERROR(IF($L$8&gt;=1,INDEX(Data!$I:$I,MATCH(1,(Data!$B:$B=Bill!$H$8)*(Data!$Q:$Q=Bill!$A59),0),1),0),"")</f>
        <v/>
      </c>
      <c r="I59" s="116" t="str">
        <f t="shared" si="6"/>
        <v/>
      </c>
    </row>
    <row r="60" spans="1:9" ht="20.25">
      <c r="A60" s="115">
        <f t="shared" si="5"/>
        <v>11</v>
      </c>
      <c r="B60" s="112" t="str" cm="1">
        <f t="array" ref="B60">IFERROR(IF($L$8&gt;=1,INDEX(Data!$E:$E,MATCH(1,(Data!$B:$B=Bill!$H$8)*(Data!$Q:$Q=Bill!$A60),0),1),0),"")</f>
        <v/>
      </c>
      <c r="C60" s="214" t="str">
        <f>IFERROR(VLOOKUP(B60,ProductMaster!B:D,2,FALSE)," ")</f>
        <v xml:space="preserve"> </v>
      </c>
      <c r="D60" s="214"/>
      <c r="E60" s="113" t="str">
        <f>IFERROR(VLOOKUP(B60,ProductMaster!B:D,3,FALSE)," ")</f>
        <v xml:space="preserve"> </v>
      </c>
      <c r="F60" s="121"/>
      <c r="G60" s="115" t="str" cm="1">
        <f t="array" ref="G60">IFERROR(IF($L$8&gt;=1,INDEX(Data!$H:$H,MATCH(1,(Data!$B:$B=Bill!$H$8)*(Data!$Q:$Q=Bill!$A60),0),1),0),"")</f>
        <v/>
      </c>
      <c r="H60" s="116" t="str" cm="1">
        <f t="array" ref="H60">IFERROR(IF($L$8&gt;=1,INDEX(Data!$I:$I,MATCH(1,(Data!$B:$B=Bill!$H$8)*(Data!$Q:$Q=Bill!$A60),0),1),0),"")</f>
        <v/>
      </c>
      <c r="I60" s="116" t="str">
        <f t="shared" si="6"/>
        <v/>
      </c>
    </row>
    <row r="61" spans="1:9" ht="20.25">
      <c r="A61" s="115">
        <f t="shared" si="5"/>
        <v>12</v>
      </c>
      <c r="B61" s="112" t="str" cm="1">
        <f t="array" ref="B61">IFERROR(IF($L$8&gt;=1,INDEX(Data!$E:$E,MATCH(1,(Data!$B:$B=Bill!$H$8)*(Data!$Q:$Q=Bill!$A61),0),1),0),"")</f>
        <v/>
      </c>
      <c r="C61" s="214" t="str">
        <f>IFERROR(VLOOKUP(B61,ProductMaster!B:D,2,FALSE)," ")</f>
        <v xml:space="preserve"> </v>
      </c>
      <c r="D61" s="214"/>
      <c r="E61" s="113" t="str">
        <f>IFERROR(VLOOKUP(B61,ProductMaster!B:D,3,FALSE)," ")</f>
        <v xml:space="preserve"> </v>
      </c>
      <c r="F61" s="121"/>
      <c r="G61" s="115" t="str" cm="1">
        <f t="array" ref="G61">IFERROR(IF($L$8&gt;=1,INDEX(Data!$H:$H,MATCH(1,(Data!$B:$B=Bill!$H$8)*(Data!$Q:$Q=Bill!$A61),0),1),0),"")</f>
        <v/>
      </c>
      <c r="H61" s="116" t="str" cm="1">
        <f t="array" ref="H61">IFERROR(IF($L$8&gt;=1,INDEX(Data!$I:$I,MATCH(1,(Data!$B:$B=Bill!$H$8)*(Data!$Q:$Q=Bill!$A61),0),1),0),"")</f>
        <v/>
      </c>
      <c r="I61" s="116" t="str">
        <f t="shared" si="6"/>
        <v/>
      </c>
    </row>
    <row r="62" spans="1:9" ht="20.25">
      <c r="A62" s="115">
        <f t="shared" si="5"/>
        <v>13</v>
      </c>
      <c r="B62" s="112" t="str" cm="1">
        <f t="array" ref="B62">IFERROR(IF($L$8&gt;=1,INDEX(Data!$E:$E,MATCH(1,(Data!$B:$B=Bill!$H$8)*(Data!$Q:$Q=Bill!$A62),0),1),0),"")</f>
        <v/>
      </c>
      <c r="C62" s="214" t="str">
        <f>IFERROR(VLOOKUP(B62,ProductMaster!B:D,2,FALSE)," ")</f>
        <v xml:space="preserve"> </v>
      </c>
      <c r="D62" s="214"/>
      <c r="E62" s="113" t="str">
        <f>IFERROR(VLOOKUP(B62,ProductMaster!B:D,3,FALSE)," ")</f>
        <v xml:space="preserve"> </v>
      </c>
      <c r="F62" s="121"/>
      <c r="G62" s="115" t="str" cm="1">
        <f t="array" ref="G62">IFERROR(IF($L$8&gt;=1,INDEX(Data!$H:$H,MATCH(1,(Data!$B:$B=Bill!$H$8)*(Data!$Q:$Q=Bill!$A62),0),1),0),"")</f>
        <v/>
      </c>
      <c r="H62" s="116" t="str" cm="1">
        <f t="array" ref="H62">IFERROR(IF($L$8&gt;=1,INDEX(Data!$I:$I,MATCH(1,(Data!$B:$B=Bill!$H$8)*(Data!$Q:$Q=Bill!$A62),0),1),0),"")</f>
        <v/>
      </c>
      <c r="I62" s="116" t="str">
        <f t="shared" si="6"/>
        <v/>
      </c>
    </row>
    <row r="63" spans="1:9" ht="20.25">
      <c r="A63" s="115">
        <f t="shared" si="5"/>
        <v>14</v>
      </c>
      <c r="B63" s="112" t="str" cm="1">
        <f t="array" ref="B63">IFERROR(IF($L$8&gt;=1,INDEX(Data!$E:$E,MATCH(1,(Data!$B:$B=Bill!$H$8)*(Data!$Q:$Q=Bill!$A63),0),1),0),"")</f>
        <v/>
      </c>
      <c r="C63" s="214" t="str">
        <f>IFERROR(VLOOKUP(B63,ProductMaster!B:D,2,FALSE)," ")</f>
        <v xml:space="preserve"> </v>
      </c>
      <c r="D63" s="214"/>
      <c r="E63" s="113" t="str">
        <f>IFERROR(VLOOKUP(B63,ProductMaster!B:D,3,FALSE)," ")</f>
        <v xml:space="preserve"> </v>
      </c>
      <c r="F63" s="121"/>
      <c r="G63" s="115" t="str" cm="1">
        <f t="array" ref="G63">IFERROR(IF($L$8&gt;=1,INDEX(Data!$H:$H,MATCH(1,(Data!$B:$B=Bill!$H$8)*(Data!$Q:$Q=Bill!$A63),0),1),0),"")</f>
        <v/>
      </c>
      <c r="H63" s="116" t="str" cm="1">
        <f t="array" ref="H63">IFERROR(IF($L$8&gt;=1,INDEX(Data!$I:$I,MATCH(1,(Data!$B:$B=Bill!$H$8)*(Data!$Q:$Q=Bill!$A63),0),1),0),"")</f>
        <v/>
      </c>
      <c r="I63" s="116" t="str">
        <f t="shared" si="6"/>
        <v/>
      </c>
    </row>
    <row r="64" spans="1:9" ht="20.25">
      <c r="A64" s="115">
        <f t="shared" si="5"/>
        <v>15</v>
      </c>
      <c r="B64" s="112" t="str" cm="1">
        <f t="array" ref="B64">IFERROR(IF($L$8&gt;=1,INDEX(Data!$E:$E,MATCH(1,(Data!$B:$B=Bill!$H$8)*(Data!$Q:$Q=Bill!$A64),0),1),0),"")</f>
        <v/>
      </c>
      <c r="C64" s="214" t="str">
        <f>IFERROR(VLOOKUP(B64,ProductMaster!B:D,2,FALSE)," ")</f>
        <v xml:space="preserve"> </v>
      </c>
      <c r="D64" s="214"/>
      <c r="E64" s="113" t="str">
        <f>IFERROR(VLOOKUP(B64,ProductMaster!B:D,3,FALSE)," ")</f>
        <v xml:space="preserve"> </v>
      </c>
      <c r="F64" s="121"/>
      <c r="G64" s="115" t="str" cm="1">
        <f t="array" ref="G64">IFERROR(IF($L$8&gt;=1,INDEX(Data!$H:$H,MATCH(1,(Data!$B:$B=Bill!$H$8)*(Data!$Q:$Q=Bill!$A64),0),1),0),"")</f>
        <v/>
      </c>
      <c r="H64" s="116" t="str" cm="1">
        <f t="array" ref="H64">IFERROR(IF($L$8&gt;=1,INDEX(Data!$I:$I,MATCH(1,(Data!$B:$B=Bill!$H$8)*(Data!$Q:$Q=Bill!$A64),0),1),0),"")</f>
        <v/>
      </c>
      <c r="I64" s="116" t="str">
        <f t="shared" si="6"/>
        <v/>
      </c>
    </row>
    <row r="65" spans="1:9" ht="6.75" customHeight="1">
      <c r="A65" s="7"/>
      <c r="B65" s="215"/>
      <c r="C65" s="216"/>
      <c r="D65" s="49"/>
      <c r="E65" s="49"/>
      <c r="F65" s="12"/>
      <c r="G65" s="7"/>
      <c r="H65" s="14"/>
      <c r="I65" s="14"/>
    </row>
    <row r="66" spans="1:9">
      <c r="A66" s="42" t="s">
        <v>150</v>
      </c>
      <c r="C66" s="122" t="str">
        <f>C29</f>
        <v/>
      </c>
      <c r="G66" s="25" t="s">
        <v>151</v>
      </c>
      <c r="H66" s="25"/>
      <c r="I66" s="117">
        <f>ROUND(SUM(I50:I65),2)</f>
        <v>7151.4</v>
      </c>
    </row>
    <row r="67" spans="1:9">
      <c r="A67" s="43" t="s">
        <v>152</v>
      </c>
      <c r="C67" s="13"/>
      <c r="D67" s="13"/>
      <c r="E67" s="13"/>
      <c r="F67" s="13"/>
      <c r="G67" s="25" t="s">
        <v>153</v>
      </c>
      <c r="H67" s="25"/>
      <c r="I67" s="117">
        <f>ROUND(I66*0.07,2)</f>
        <v>500.6</v>
      </c>
    </row>
    <row r="68" spans="1:9">
      <c r="A68" s="42" t="s">
        <v>154</v>
      </c>
      <c r="B68" s="3"/>
      <c r="C68" s="33" t="str">
        <f>INDEX(Data!M:M,MATCH(Bill!H45,Data!B:B,0))</f>
        <v>Transfer</v>
      </c>
      <c r="G68" s="25" t="s">
        <v>155</v>
      </c>
      <c r="H68" s="25"/>
      <c r="I68" s="117">
        <f>ROUND(SUM(I66:I67),2)</f>
        <v>7652</v>
      </c>
    </row>
    <row r="69" spans="1:9">
      <c r="A69" s="44"/>
      <c r="B69" s="25"/>
      <c r="C69" s="25"/>
      <c r="D69" s="25"/>
      <c r="G69" s="25" t="s">
        <v>156</v>
      </c>
      <c r="H69" s="25"/>
      <c r="I69" s="118">
        <f>+I32</f>
        <v>0</v>
      </c>
    </row>
    <row r="70" spans="1:9" ht="28.5" customHeight="1">
      <c r="A70" s="217" t="s">
        <v>157</v>
      </c>
      <c r="B70" s="218"/>
      <c r="C70" s="219" t="str">
        <f>BAHTTEXT(I70)</f>
        <v>เจ็ดพันหกร้อยห้าสิบสองบาทถ้วน</v>
      </c>
      <c r="D70" s="220"/>
      <c r="E70" s="220"/>
      <c r="F70" s="221"/>
      <c r="G70" s="45" t="s">
        <v>158</v>
      </c>
      <c r="H70" s="45"/>
      <c r="I70" s="119">
        <f>ROUND(I68-I69,2)</f>
        <v>7652</v>
      </c>
    </row>
    <row r="71" spans="1:9">
      <c r="A71" s="9"/>
      <c r="B71" s="9"/>
      <c r="C71" s="9"/>
      <c r="D71" s="9"/>
      <c r="E71" s="9"/>
      <c r="F71" s="9"/>
      <c r="G71" s="9"/>
      <c r="H71" s="9"/>
      <c r="I71" s="10"/>
    </row>
    <row r="72" spans="1:9">
      <c r="A72" s="9"/>
      <c r="B72" s="9"/>
      <c r="C72" s="9" t="s">
        <v>159</v>
      </c>
      <c r="D72" s="6" t="str">
        <f>VLOOKUP(H45,Data!B:P,15,FALSE)</f>
        <v>Tax Invoice</v>
      </c>
      <c r="E72" s="9"/>
      <c r="F72" s="9"/>
      <c r="G72" s="9"/>
      <c r="H72" s="9"/>
      <c r="I72" s="10"/>
    </row>
    <row r="73" spans="1:9" ht="28.5">
      <c r="A73" s="1" t="s">
        <v>164</v>
      </c>
      <c r="B73" s="47" t="str">
        <f>INDEX(Data!N:N,MATCH(Bill!H45,Data!B:B,0))</f>
        <v>Cat</v>
      </c>
      <c r="D73" s="59"/>
      <c r="G73" s="46" t="s">
        <v>160</v>
      </c>
      <c r="H73" s="40"/>
      <c r="I73" s="40"/>
    </row>
    <row r="74" spans="1:9" ht="6.75" customHeight="1"/>
  </sheetData>
  <mergeCells count="47">
    <mergeCell ref="C63:D63"/>
    <mergeCell ref="C64:D64"/>
    <mergeCell ref="B65:C65"/>
    <mergeCell ref="A70:B70"/>
    <mergeCell ref="C70:F70"/>
    <mergeCell ref="C62:D62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H45:I45"/>
    <mergeCell ref="C46:F46"/>
    <mergeCell ref="H46:I46"/>
    <mergeCell ref="C47:D47"/>
    <mergeCell ref="B49:F49"/>
    <mergeCell ref="C50:D50"/>
    <mergeCell ref="C26:D26"/>
    <mergeCell ref="C27:D27"/>
    <mergeCell ref="B28:C28"/>
    <mergeCell ref="A33:B33"/>
    <mergeCell ref="C33:F33"/>
    <mergeCell ref="A45:B45"/>
    <mergeCell ref="C25:D25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13:D13"/>
    <mergeCell ref="A8:B8"/>
    <mergeCell ref="C9:F9"/>
    <mergeCell ref="H9:I9"/>
    <mergeCell ref="C10:D10"/>
    <mergeCell ref="B12:F12"/>
  </mergeCells>
  <conditionalFormatting sqref="A34">
    <cfRule type="cellIs" dxfId="46" priority="23" operator="equal">
      <formula>0</formula>
    </cfRule>
  </conditionalFormatting>
  <conditionalFormatting sqref="A71:A72">
    <cfRule type="cellIs" dxfId="45" priority="16" operator="equal">
      <formula>0</formula>
    </cfRule>
  </conditionalFormatting>
  <conditionalFormatting sqref="B13:C27">
    <cfRule type="cellIs" dxfId="44" priority="1" operator="equal">
      <formula>0</formula>
    </cfRule>
  </conditionalFormatting>
  <conditionalFormatting sqref="B50:C64">
    <cfRule type="cellIs" dxfId="43" priority="5" operator="equal">
      <formula>0</formula>
    </cfRule>
  </conditionalFormatting>
  <conditionalFormatting sqref="B28:F28">
    <cfRule type="cellIs" dxfId="42" priority="25" operator="equal">
      <formula>0</formula>
    </cfRule>
  </conditionalFormatting>
  <conditionalFormatting sqref="B65:F65">
    <cfRule type="cellIs" dxfId="41" priority="18" operator="equal">
      <formula>0</formula>
    </cfRule>
  </conditionalFormatting>
  <conditionalFormatting sqref="E13:E27">
    <cfRule type="cellIs" dxfId="40" priority="2" operator="equal">
      <formula>0</formula>
    </cfRule>
  </conditionalFormatting>
  <conditionalFormatting sqref="E50:E64">
    <cfRule type="cellIs" dxfId="39" priority="6" operator="equal">
      <formula>0</formula>
    </cfRule>
  </conditionalFormatting>
  <conditionalFormatting sqref="G13:G33 I13:I34">
    <cfRule type="cellIs" dxfId="38" priority="4" operator="equal">
      <formula>0</formula>
    </cfRule>
  </conditionalFormatting>
  <conditionalFormatting sqref="G50:G70">
    <cfRule type="cellIs" dxfId="37" priority="13" operator="equal">
      <formula>0</formula>
    </cfRule>
  </conditionalFormatting>
  <conditionalFormatting sqref="H13:H28">
    <cfRule type="cellIs" dxfId="36" priority="3" operator="equal">
      <formula>0</formula>
    </cfRule>
  </conditionalFormatting>
  <conditionalFormatting sqref="H50:H65">
    <cfRule type="cellIs" dxfId="35" priority="17" operator="equal">
      <formula>0</formula>
    </cfRule>
  </conditionalFormatting>
  <conditionalFormatting sqref="I50:I72">
    <cfRule type="cellIs" dxfId="34" priority="12" operator="equal">
      <formula>0</formula>
    </cfRule>
  </conditionalFormatting>
  <printOptions horizontalCentered="1" verticalCentered="1"/>
  <pageMargins left="0" right="0" top="0" bottom="0" header="0" footer="0"/>
  <pageSetup paperSize="9" scale="5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BM500"/>
  <sheetViews>
    <sheetView zoomScale="83" zoomScaleNormal="83" workbookViewId="0">
      <pane xSplit="3" ySplit="1" topLeftCell="D181" activePane="bottomRight" state="frozen"/>
      <selection pane="topRight" activeCell="E1" sqref="E1"/>
      <selection pane="bottomLeft" activeCell="A2" sqref="A2"/>
      <selection pane="bottomRight" activeCell="A191" sqref="A191"/>
    </sheetView>
  </sheetViews>
  <sheetFormatPr defaultColWidth="7.5" defaultRowHeight="12"/>
  <cols>
    <col min="1" max="1" width="9.5" style="95" customWidth="1"/>
    <col min="2" max="2" width="8.375" style="103" customWidth="1"/>
    <col min="3" max="3" width="13" style="96" bestFit="1" customWidth="1"/>
    <col min="4" max="4" width="21" style="97" customWidth="1"/>
    <col min="5" max="5" width="12.875" style="97" customWidth="1"/>
    <col min="6" max="6" width="16.875" style="97" customWidth="1"/>
    <col min="7" max="7" width="35" style="83" customWidth="1"/>
    <col min="8" max="8" width="6.5" style="98" customWidth="1"/>
    <col min="9" max="11" width="11.5" style="124" customWidth="1"/>
    <col min="12" max="12" width="10" style="99" customWidth="1"/>
    <col min="13" max="13" width="12.5" style="100" customWidth="1"/>
    <col min="14" max="14" width="6.5" style="100" customWidth="1"/>
    <col min="15" max="15" width="9" style="96" customWidth="1"/>
    <col min="16" max="16" width="13.375" style="105" customWidth="1"/>
    <col min="17" max="17" width="9" style="82" customWidth="1"/>
    <col min="18" max="18" width="9.5" style="83" customWidth="1"/>
    <col min="19" max="19" width="9" style="83" customWidth="1"/>
    <col min="20" max="20" width="13.875" style="83" bestFit="1" customWidth="1"/>
    <col min="21" max="21" width="9" style="83" customWidth="1"/>
    <col min="22" max="22" width="9.875" style="83" bestFit="1" customWidth="1"/>
    <col min="23" max="23" width="14.5" style="83" bestFit="1" customWidth="1"/>
    <col min="24" max="65" width="9" style="83" customWidth="1"/>
    <col min="66" max="16384" width="7.5" style="84"/>
  </cols>
  <sheetData>
    <row r="1" spans="1:65" s="78" customFormat="1" ht="24.75" customHeight="1">
      <c r="A1" s="71" t="s">
        <v>107</v>
      </c>
      <c r="B1" s="101" t="s">
        <v>108</v>
      </c>
      <c r="C1" s="202" t="s">
        <v>1715</v>
      </c>
      <c r="D1" s="73" t="s">
        <v>110</v>
      </c>
      <c r="E1" s="74" t="s">
        <v>111</v>
      </c>
      <c r="F1" s="74" t="s">
        <v>112</v>
      </c>
      <c r="G1" s="75" t="s">
        <v>113</v>
      </c>
      <c r="H1" s="79" t="s">
        <v>114</v>
      </c>
      <c r="I1" s="75" t="s">
        <v>115</v>
      </c>
      <c r="J1" s="75" t="s">
        <v>116</v>
      </c>
      <c r="K1" s="75" t="s">
        <v>1716</v>
      </c>
      <c r="L1" s="80" t="s">
        <v>117</v>
      </c>
      <c r="M1" s="81" t="s">
        <v>118</v>
      </c>
      <c r="N1" s="80" t="s">
        <v>119</v>
      </c>
      <c r="O1" s="72" t="s">
        <v>120</v>
      </c>
      <c r="P1" s="104" t="s">
        <v>121</v>
      </c>
      <c r="Q1" s="76" t="s">
        <v>122</v>
      </c>
      <c r="R1" s="141">
        <f ca="1">ROUND(SUM(K:K)+SUM(K:K)*7%,2)-R3</f>
        <v>549573.18999999994</v>
      </c>
      <c r="S1" s="198">
        <f ca="1">ROUND(SUM(K:K),2)-R3</f>
        <v>512444.92000000004</v>
      </c>
      <c r="T1" s="141">
        <f ca="1">SUM(T2:T76)-T3</f>
        <v>548316.0643999998</v>
      </c>
      <c r="U1" s="153">
        <f ca="1">S1*7%</f>
        <v>35871.144400000005</v>
      </c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</row>
    <row r="2" spans="1:65" ht="20.25" customHeight="1">
      <c r="A2" s="85">
        <v>45417</v>
      </c>
      <c r="B2" s="102">
        <v>505001</v>
      </c>
      <c r="C2" s="86" t="s">
        <v>1872</v>
      </c>
      <c r="D2" s="87">
        <v>4892210222503</v>
      </c>
      <c r="E2" s="88" t="str">
        <f>IFERROR(VLOOKUP(D2,ProductMaster!$A:$B,2,FALSE),"")</f>
        <v>018655011</v>
      </c>
      <c r="F2" s="88" t="str">
        <f>IFERROR(VLOOKUP(D2,ProductMaster!$A:$C,3,FALSE),"")</f>
        <v>M18 F2BL-0</v>
      </c>
      <c r="G2" s="89" t="str">
        <f>IFERROR(VLOOKUP($D2,ProductMaster!$A:$O,4,FALSE),"")</f>
        <v>เครื่องเป่าใบไม้ไร้สาย 18 โวลต์ ระบบแบตเตอรี่คู่  (เครื่องเปล่า)</v>
      </c>
      <c r="H2" s="90">
        <v>1</v>
      </c>
      <c r="I2" s="123">
        <f>IFERROR(VLOOKUP(E2,ProductMaster!B:G,6,FALSE),0)</f>
        <v>9241.1214953271028</v>
      </c>
      <c r="J2" s="123">
        <f>ROUND(SUM(I2*7%),2)</f>
        <v>646.88</v>
      </c>
      <c r="K2" s="123">
        <f>ROUND(SUM(H2*I2),2)</f>
        <v>9241.1200000000008</v>
      </c>
      <c r="L2" s="148"/>
      <c r="M2" s="92" t="s">
        <v>127</v>
      </c>
      <c r="N2" s="92" t="s">
        <v>1711</v>
      </c>
      <c r="O2" s="93">
        <v>0</v>
      </c>
      <c r="P2" s="86" t="s">
        <v>129</v>
      </c>
      <c r="Q2" s="82">
        <f>IF(B2=B1,Q1+1,1)</f>
        <v>1</v>
      </c>
      <c r="R2" s="124">
        <f ca="1">SUMIF($B$2:$K$500,S2,$K$2:$K$500)</f>
        <v>9241.1200000000008</v>
      </c>
      <c r="S2" s="149">
        <v>505001</v>
      </c>
      <c r="T2" s="124">
        <f ca="1">R2*1.07</f>
        <v>9887.9984000000022</v>
      </c>
    </row>
    <row r="3" spans="1:65" s="181" customFormat="1" ht="20.25" customHeight="1">
      <c r="A3" s="154">
        <v>45417</v>
      </c>
      <c r="B3" s="155">
        <v>505002</v>
      </c>
      <c r="C3" s="156" t="s">
        <v>47</v>
      </c>
      <c r="D3" s="157">
        <v>4892210204080</v>
      </c>
      <c r="E3" s="174" t="str">
        <f>IFERROR(VLOOKUP(D3,ProductMaster!$A:$B,2,FALSE),"")</f>
        <v>018472009</v>
      </c>
      <c r="F3" s="174" t="str">
        <f>IFERROR(VLOOKUP(D3,ProductMaster!$A:$C,3,FALSE),"")</f>
        <v>M18 FHX-0X0</v>
      </c>
      <c r="G3" s="175" t="str">
        <f>IFERROR(VLOOKUP($D3,ProductMaster!$A:$O,4,FALSE),"")</f>
        <v>สว่านโรตารี่ไร้สาย 18 โวลต์ 26 มม. SDS PLUS 3 ระบบ (เครื่องเปล่า)</v>
      </c>
      <c r="H3" s="176">
        <v>1</v>
      </c>
      <c r="I3" s="177">
        <f>IFERROR(VLOOKUP(E3,ProductMaster!B:G,6,FALSE),0)</f>
        <v>11951.401869158879</v>
      </c>
      <c r="J3" s="177">
        <f t="shared" ref="J3:J18" si="0">ROUND(SUM(I3*7%),2)</f>
        <v>836.6</v>
      </c>
      <c r="K3" s="177">
        <f t="shared" ref="K3:K15" si="1">ROUND(SUM(H3*I3),2)</f>
        <v>11951.4</v>
      </c>
      <c r="L3" s="148"/>
      <c r="M3" s="178" t="s">
        <v>127</v>
      </c>
      <c r="N3" s="178" t="s">
        <v>1711</v>
      </c>
      <c r="O3" s="179">
        <v>0</v>
      </c>
      <c r="P3" s="156" t="s">
        <v>1709</v>
      </c>
      <c r="Q3" s="173">
        <f t="shared" ref="Q3:Q65" si="2">IF(B3=B2,Q2+1,1)</f>
        <v>1</v>
      </c>
      <c r="R3" s="124">
        <f t="shared" ref="R3:R66" ca="1" si="3">SUMIF($B$2:$K$500,S3,$K$2:$K$500)</f>
        <v>17958.89</v>
      </c>
      <c r="S3" s="173">
        <v>505002</v>
      </c>
      <c r="T3" s="180">
        <f ca="1">R3*1.07</f>
        <v>19216.012300000002</v>
      </c>
      <c r="U3" s="151" t="s">
        <v>1914</v>
      </c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</row>
    <row r="4" spans="1:65" s="181" customFormat="1" ht="20.25" customHeight="1">
      <c r="A4" s="154">
        <v>45417</v>
      </c>
      <c r="B4" s="155">
        <v>505002</v>
      </c>
      <c r="C4" s="156" t="s">
        <v>47</v>
      </c>
      <c r="D4" s="157" t="s">
        <v>1646</v>
      </c>
      <c r="E4" s="174" t="str">
        <f>IFERROR(VLOOKUP(D4,ProductMaster!$A:$B,2,FALSE),"")</f>
        <v>001997014-(BF)</v>
      </c>
      <c r="F4" s="174" t="str">
        <f>IFERROR(VLOOKUP(D4,ProductMaster!$A:$C,3,FALSE),"")</f>
        <v>M12-18FCSA-(BF)</v>
      </c>
      <c r="G4" s="175" t="str">
        <f>IFERROR(VLOOKUP($D4,ProductMaster!$A:$O,4,FALSE),"")</f>
        <v>แท่นชาร์จแบตเตอรี่ 12-18 โวลต์ แบบชาร์จเร็ว</v>
      </c>
      <c r="H4" s="176">
        <v>1</v>
      </c>
      <c r="I4" s="177">
        <f>IFERROR(VLOOKUP(E4,ProductMaster!B:G,6,FALSE),0)</f>
        <v>1766.3551401869158</v>
      </c>
      <c r="J4" s="177">
        <f t="shared" ref="J4" si="4">ROUND(SUM(I4*7%),2)</f>
        <v>123.64</v>
      </c>
      <c r="K4" s="177">
        <f t="shared" ref="K4" si="5">ROUND(SUM(H4*I4),2)</f>
        <v>1766.36</v>
      </c>
      <c r="L4" s="148"/>
      <c r="M4" s="178" t="s">
        <v>127</v>
      </c>
      <c r="N4" s="178" t="s">
        <v>1711</v>
      </c>
      <c r="O4" s="179">
        <v>0</v>
      </c>
      <c r="P4" s="156" t="s">
        <v>1709</v>
      </c>
      <c r="Q4" s="173">
        <f t="shared" si="2"/>
        <v>2</v>
      </c>
      <c r="R4" s="124">
        <f t="shared" ca="1" si="3"/>
        <v>8493.4599999999991</v>
      </c>
      <c r="S4" s="184">
        <v>505003</v>
      </c>
      <c r="T4" s="180">
        <f t="shared" ref="T4:T67" ca="1" si="6">R4*1.07</f>
        <v>9088.002199999999</v>
      </c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</row>
    <row r="5" spans="1:65" s="181" customFormat="1" ht="20.25" customHeight="1">
      <c r="A5" s="154">
        <v>45417</v>
      </c>
      <c r="B5" s="155">
        <v>505002</v>
      </c>
      <c r="C5" s="156" t="s">
        <v>47</v>
      </c>
      <c r="D5" s="157" t="s">
        <v>1683</v>
      </c>
      <c r="E5" s="174" t="str">
        <f>IFERROR(VLOOKUP(D5,ProductMaster!$A:$B,2,FALSE),"")</f>
        <v>001998236DG9-(BF)</v>
      </c>
      <c r="F5" s="174" t="str">
        <f>IFERROR(VLOOKUP(D5,ProductMaster!$A:$C,3,FALSE),"")</f>
        <v>M18HB8ASIA-(BF)</v>
      </c>
      <c r="G5" s="175" t="str">
        <f>IFERROR(VLOOKUP($D5,ProductMaster!$A:$O,4,FALSE),"")</f>
        <v>แบตเตอรี่ 18 โวลต์ 8.0 แอมป์อาว HIGH OUTPUT</v>
      </c>
      <c r="H5" s="176">
        <v>1</v>
      </c>
      <c r="I5" s="177">
        <f>IFERROR(VLOOKUP(E5,ProductMaster!B:G,6,FALSE),0)</f>
        <v>3542.0560747663553</v>
      </c>
      <c r="J5" s="177">
        <f t="shared" ref="J5" si="7">ROUND(SUM(I5*7%),2)</f>
        <v>247.94</v>
      </c>
      <c r="K5" s="177">
        <f t="shared" ref="K5" si="8">ROUND(SUM(H5*I5),2)</f>
        <v>3542.06</v>
      </c>
      <c r="L5" s="148"/>
      <c r="M5" s="178" t="s">
        <v>127</v>
      </c>
      <c r="N5" s="178" t="s">
        <v>1711</v>
      </c>
      <c r="O5" s="179">
        <v>0</v>
      </c>
      <c r="P5" s="156" t="s">
        <v>1709</v>
      </c>
      <c r="Q5" s="173">
        <f t="shared" si="2"/>
        <v>3</v>
      </c>
      <c r="R5" s="124">
        <f t="shared" ca="1" si="3"/>
        <v>27444.870000000003</v>
      </c>
      <c r="S5" s="173">
        <v>505004</v>
      </c>
      <c r="T5" s="180">
        <f t="shared" ca="1" si="6"/>
        <v>29366.010900000005</v>
      </c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</row>
    <row r="6" spans="1:65" s="181" customFormat="1" ht="20.25" customHeight="1">
      <c r="A6" s="154">
        <v>45417</v>
      </c>
      <c r="B6" s="155">
        <v>505002</v>
      </c>
      <c r="C6" s="156" t="s">
        <v>47</v>
      </c>
      <c r="D6" s="157">
        <v>45242573912</v>
      </c>
      <c r="E6" s="174" t="str">
        <f>IFERROR(VLOOKUP(D6,ProductMaster!$A:$B,2,FALSE),"")</f>
        <v>006105507</v>
      </c>
      <c r="F6" s="174" t="str">
        <f>IFERROR(VLOOKUP(D6,ProductMaster!$A:$C,3,FALSE),"")</f>
        <v>48-22-1505</v>
      </c>
      <c r="G6" s="175" t="str">
        <f>IFERROR(VLOOKUP($D6,ProductMaster!$A:$O,4,FALSE),"")</f>
        <v xml:space="preserve">มีดพับอเนกประสงค์ พร้อมช่องเก็บใบมีด รุ่น FASTBACK™ 6 IN 1 </v>
      </c>
      <c r="H6" s="176">
        <v>1</v>
      </c>
      <c r="I6" s="177">
        <f>IFERROR(VLOOKUP(E6,ProductMaster!B:G,6,FALSE),0)</f>
        <v>699.06542056074761</v>
      </c>
      <c r="J6" s="177">
        <f t="shared" ref="J6" si="9">ROUND(SUM(I6*7%),2)</f>
        <v>48.93</v>
      </c>
      <c r="K6" s="177">
        <f t="shared" ref="K6" si="10">ROUND(SUM(H6*I6),2)</f>
        <v>699.07</v>
      </c>
      <c r="L6" s="148"/>
      <c r="M6" s="178" t="s">
        <v>127</v>
      </c>
      <c r="N6" s="178" t="s">
        <v>1711</v>
      </c>
      <c r="O6" s="179">
        <v>0</v>
      </c>
      <c r="P6" s="156" t="s">
        <v>1709</v>
      </c>
      <c r="Q6" s="173">
        <f t="shared" si="2"/>
        <v>4</v>
      </c>
      <c r="R6" s="124">
        <f t="shared" ca="1" si="3"/>
        <v>6624.3</v>
      </c>
      <c r="S6" s="184">
        <v>505005</v>
      </c>
      <c r="T6" s="180">
        <f t="shared" ca="1" si="6"/>
        <v>7088.0010000000002</v>
      </c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</row>
    <row r="7" spans="1:65" s="171" customFormat="1" ht="20.25" customHeight="1">
      <c r="A7" s="158">
        <v>45417</v>
      </c>
      <c r="B7" s="159">
        <v>505003</v>
      </c>
      <c r="C7" s="160" t="s">
        <v>1874</v>
      </c>
      <c r="D7" s="161">
        <v>4892210179524</v>
      </c>
      <c r="E7" s="162" t="str">
        <f>IFERROR(VLOOKUP(D7,ProductMaster!$A:$B,2,FALSE),"")</f>
        <v>018080020</v>
      </c>
      <c r="F7" s="162" t="str">
        <f>IFERROR(VLOOKUP(D7,ProductMaster!$A:$C,3,FALSE),"")</f>
        <v>M18 GG-0 ASIA</v>
      </c>
      <c r="G7" s="163" t="str">
        <f>IFERROR(VLOOKUP($D7,ProductMaster!$A:$O,4,FALSE),"")</f>
        <v>M18 เครื่องอัดจารบี</v>
      </c>
      <c r="H7" s="164">
        <v>1</v>
      </c>
      <c r="I7" s="165">
        <f>IFERROR(VLOOKUP(E7,ProductMaster!B:G,6,FALSE),0)</f>
        <v>8493.4579439252338</v>
      </c>
      <c r="J7" s="165">
        <f t="shared" si="0"/>
        <v>594.54</v>
      </c>
      <c r="K7" s="165">
        <f t="shared" si="1"/>
        <v>8493.4599999999991</v>
      </c>
      <c r="L7" s="166"/>
      <c r="M7" s="92" t="s">
        <v>123</v>
      </c>
      <c r="N7" s="167" t="s">
        <v>1711</v>
      </c>
      <c r="O7" s="168">
        <v>0</v>
      </c>
      <c r="P7" s="160" t="s">
        <v>1709</v>
      </c>
      <c r="Q7" s="169">
        <f t="shared" si="2"/>
        <v>1</v>
      </c>
      <c r="R7" s="124">
        <f t="shared" ca="1" si="3"/>
        <v>239.25</v>
      </c>
      <c r="S7" s="83">
        <v>505006</v>
      </c>
      <c r="T7" s="183">
        <f t="shared" ca="1" si="6"/>
        <v>255.9975</v>
      </c>
      <c r="U7" s="170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</row>
    <row r="8" spans="1:65" ht="20.25" customHeight="1">
      <c r="A8" s="85">
        <v>45417</v>
      </c>
      <c r="B8" s="102">
        <v>505004</v>
      </c>
      <c r="C8" s="86" t="s">
        <v>1873</v>
      </c>
      <c r="D8" s="87">
        <v>4892210240033</v>
      </c>
      <c r="E8" s="88" t="str">
        <f>IFERROR(VLOOKUP(D8,ProductMaster!$A:$B,2,FALSE),"")</f>
        <v>059600307</v>
      </c>
      <c r="F8" s="88" t="str">
        <f>IFERROR(VLOOKUP(D8,ProductMaster!$A:$C,3,FALSE),"")</f>
        <v>M18 FPP2AC3-502LR SA</v>
      </c>
      <c r="G8" s="89" t="str">
        <f>IFERROR(VLOOKUP($D8,ProductMaster!$A:$O,4,FALSE),"")</f>
        <v>M18 FPP2AC3-502LR SA (ชุดคอมโบสำหรับช่างไฟ)</v>
      </c>
      <c r="H8" s="90">
        <v>1</v>
      </c>
      <c r="I8" s="123">
        <f>IFERROR(VLOOKUP(E8,ProductMaster!B:G,6,FALSE),0)</f>
        <v>17652.336448598129</v>
      </c>
      <c r="J8" s="123">
        <f t="shared" si="0"/>
        <v>1235.6600000000001</v>
      </c>
      <c r="K8" s="123">
        <f t="shared" si="1"/>
        <v>17652.34</v>
      </c>
      <c r="L8" s="148">
        <v>2000</v>
      </c>
      <c r="M8" s="92" t="s">
        <v>123</v>
      </c>
      <c r="N8" s="92" t="s">
        <v>1711</v>
      </c>
      <c r="O8" s="93">
        <v>0</v>
      </c>
      <c r="P8" s="86" t="s">
        <v>1709</v>
      </c>
      <c r="Q8" s="82">
        <f t="shared" si="2"/>
        <v>1</v>
      </c>
      <c r="R8" s="124">
        <f t="shared" ca="1" si="3"/>
        <v>856.08</v>
      </c>
      <c r="S8" s="149">
        <v>505007</v>
      </c>
      <c r="T8" s="124">
        <f t="shared" ca="1" si="6"/>
        <v>916.00560000000007</v>
      </c>
    </row>
    <row r="9" spans="1:65" ht="20.25" customHeight="1">
      <c r="A9" s="85">
        <v>45417</v>
      </c>
      <c r="B9" s="102">
        <v>505004</v>
      </c>
      <c r="C9" s="86" t="s">
        <v>1873</v>
      </c>
      <c r="D9" s="87">
        <v>4892210163752</v>
      </c>
      <c r="E9" s="88" t="str">
        <f>IFERROR(VLOOKUP(D9,ProductMaster!$A:$B,2,FALSE),"")</f>
        <v>018262012</v>
      </c>
      <c r="F9" s="88" t="str">
        <f>IFERROR(VLOOKUP(D9,ProductMaster!$A:$C,3,FALSE),"")</f>
        <v>M18 FHZ-0</v>
      </c>
      <c r="G9" s="89" t="str">
        <f>IFERROR(VLOOKUP($D9,ProductMaster!$A:$O,4,FALSE),"")</f>
        <v>เลื่อยชักอเนกประสงค์ไร้สาย 18 โวลต์ (เครื่องเปล่า)</v>
      </c>
      <c r="H9" s="90">
        <v>1</v>
      </c>
      <c r="I9" s="123">
        <f>IFERROR(VLOOKUP(E9,ProductMaster!B:G,6,FALSE),0)</f>
        <v>6250.467289719626</v>
      </c>
      <c r="J9" s="123">
        <f t="shared" si="0"/>
        <v>437.53</v>
      </c>
      <c r="K9" s="123">
        <f t="shared" si="1"/>
        <v>6250.47</v>
      </c>
      <c r="L9" s="148">
        <v>500</v>
      </c>
      <c r="M9" s="92" t="s">
        <v>123</v>
      </c>
      <c r="N9" s="92" t="s">
        <v>1711</v>
      </c>
      <c r="O9" s="93">
        <v>0</v>
      </c>
      <c r="P9" s="86" t="s">
        <v>1709</v>
      </c>
      <c r="Q9" s="82">
        <f t="shared" si="2"/>
        <v>2</v>
      </c>
      <c r="R9" s="124">
        <f t="shared" ca="1" si="3"/>
        <v>715.89</v>
      </c>
      <c r="S9" s="83">
        <v>505008</v>
      </c>
      <c r="T9" s="124">
        <f t="shared" ca="1" si="6"/>
        <v>766.00229999999999</v>
      </c>
    </row>
    <row r="10" spans="1:65" ht="20.25" customHeight="1">
      <c r="A10" s="85">
        <v>45417</v>
      </c>
      <c r="B10" s="102">
        <v>505004</v>
      </c>
      <c r="C10" s="86" t="s">
        <v>1873</v>
      </c>
      <c r="D10" s="87" t="s">
        <v>1683</v>
      </c>
      <c r="E10" s="88" t="str">
        <f>IFERROR(VLOOKUP(D10,ProductMaster!$A:$B,2,FALSE),"")</f>
        <v>001998236DG9-(BF)</v>
      </c>
      <c r="F10" s="88" t="str">
        <f>IFERROR(VLOOKUP(D10,ProductMaster!$A:$C,3,FALSE),"")</f>
        <v>M18HB8ASIA-(BF)</v>
      </c>
      <c r="G10" s="89" t="str">
        <f>IFERROR(VLOOKUP($D10,ProductMaster!$A:$O,4,FALSE),"")</f>
        <v>แบตเตอรี่ 18 โวลต์ 8.0 แอมป์อาว HIGH OUTPUT</v>
      </c>
      <c r="H10" s="90">
        <v>1</v>
      </c>
      <c r="I10" s="123">
        <f>IFERROR(VLOOKUP(E10,ProductMaster!B:G,6,FALSE),0)</f>
        <v>3542.0560747663553</v>
      </c>
      <c r="J10" s="123">
        <f t="shared" si="0"/>
        <v>247.94</v>
      </c>
      <c r="K10" s="123">
        <f t="shared" si="1"/>
        <v>3542.06</v>
      </c>
      <c r="L10" s="148"/>
      <c r="M10" s="92" t="s">
        <v>123</v>
      </c>
      <c r="N10" s="92" t="s">
        <v>1711</v>
      </c>
      <c r="O10" s="93">
        <v>0</v>
      </c>
      <c r="P10" s="86" t="s">
        <v>1709</v>
      </c>
      <c r="Q10" s="82">
        <f t="shared" si="2"/>
        <v>3</v>
      </c>
      <c r="R10" s="124">
        <f t="shared" ca="1" si="3"/>
        <v>287.85000000000002</v>
      </c>
      <c r="S10" s="149">
        <v>505009</v>
      </c>
      <c r="T10" s="124">
        <f t="shared" ca="1" si="6"/>
        <v>307.99950000000007</v>
      </c>
    </row>
    <row r="11" spans="1:65" ht="20.25" customHeight="1">
      <c r="A11" s="85">
        <v>45417</v>
      </c>
      <c r="B11" s="102">
        <v>505005</v>
      </c>
      <c r="C11" s="86" t="s">
        <v>1873</v>
      </c>
      <c r="D11" s="87">
        <v>4892210205896</v>
      </c>
      <c r="E11" s="88" t="str">
        <f>IFERROR(VLOOKUP(D11,ProductMaster!$A:$B,2,FALSE),"")</f>
        <v>018521012</v>
      </c>
      <c r="F11" s="88" t="str">
        <f>IFERROR(VLOOKUP(D11,ProductMaster!$A:$C,3,FALSE),"")</f>
        <v>M18 FSAGV100XPDB-0X0 ASIA</v>
      </c>
      <c r="G11" s="89" t="str">
        <f>IFERROR(VLOOKUP($D11,ProductMaster!$A:$O,4,FALSE),"")</f>
        <v>M18 FUEL GEN II 100MM VARIABLE SPEED BRAKING ANGLE GRINDER,P</v>
      </c>
      <c r="H11" s="90">
        <v>1</v>
      </c>
      <c r="I11" s="123">
        <f>IFERROR(VLOOKUP(E11,ProductMaster!B:G,6,FALSE),0)</f>
        <v>6624.2990654205605</v>
      </c>
      <c r="J11" s="123">
        <f t="shared" si="0"/>
        <v>463.7</v>
      </c>
      <c r="K11" s="123">
        <f t="shared" si="1"/>
        <v>6624.3</v>
      </c>
      <c r="L11" s="148">
        <v>500</v>
      </c>
      <c r="M11" s="92" t="s">
        <v>123</v>
      </c>
      <c r="N11" s="92" t="s">
        <v>1711</v>
      </c>
      <c r="O11" s="93">
        <v>0</v>
      </c>
      <c r="P11" s="86" t="s">
        <v>1709</v>
      </c>
      <c r="Q11" s="82">
        <f t="shared" si="2"/>
        <v>1</v>
      </c>
      <c r="R11" s="124">
        <f t="shared" ca="1" si="3"/>
        <v>2783.1800000000003</v>
      </c>
      <c r="S11" s="83">
        <v>505010</v>
      </c>
      <c r="T11" s="124">
        <f t="shared" ca="1" si="6"/>
        <v>2978.0026000000007</v>
      </c>
      <c r="U11" s="153"/>
      <c r="V11" s="153"/>
    </row>
    <row r="12" spans="1:65" ht="20.25" customHeight="1">
      <c r="A12" s="85">
        <v>45417</v>
      </c>
      <c r="B12" s="102">
        <v>505006</v>
      </c>
      <c r="C12" s="86" t="s">
        <v>6</v>
      </c>
      <c r="D12" s="87">
        <v>45242509171</v>
      </c>
      <c r="E12" s="88" t="str">
        <f>IFERROR(VLOOKUP(D12,ProductMaster!$A:$B,2,FALSE),"")</f>
        <v>006067501</v>
      </c>
      <c r="F12" s="88" t="str">
        <f>IFERROR(VLOOKUP(D12,ProductMaster!$A:$C,3,FALSE),"")</f>
        <v>48-22-8901</v>
      </c>
      <c r="G12" s="89" t="str">
        <f>IFERROR(VLOOKUP($D12,ProductMaster!$A:$O,4,FALSE),"")</f>
        <v xml:space="preserve">ถุงมือกันบาด Cut 1 Dipped Gloves - M </v>
      </c>
      <c r="H12" s="90">
        <v>1</v>
      </c>
      <c r="I12" s="123">
        <f>IFERROR(VLOOKUP(E12,ProductMaster!B:G,6,FALSE),0)</f>
        <v>157.00934579439252</v>
      </c>
      <c r="J12" s="123">
        <f t="shared" ref="J12" si="11">ROUND(SUM(I12*7%),2)</f>
        <v>10.99</v>
      </c>
      <c r="K12" s="123">
        <f t="shared" ref="K12" si="12">ROUND(SUM(H12*I12),2)</f>
        <v>157.01</v>
      </c>
      <c r="L12" s="148"/>
      <c r="M12" s="92" t="s">
        <v>125</v>
      </c>
      <c r="N12" s="92" t="s">
        <v>1711</v>
      </c>
      <c r="O12" s="93">
        <v>0</v>
      </c>
      <c r="P12" s="86" t="s">
        <v>129</v>
      </c>
      <c r="Q12" s="82">
        <f t="shared" si="2"/>
        <v>1</v>
      </c>
      <c r="R12" s="124">
        <f t="shared" ca="1" si="3"/>
        <v>82.24</v>
      </c>
      <c r="S12" s="149">
        <v>505011</v>
      </c>
      <c r="T12" s="124">
        <f t="shared" ca="1" si="6"/>
        <v>87.996799999999993</v>
      </c>
    </row>
    <row r="13" spans="1:65" ht="20.25" customHeight="1">
      <c r="A13" s="85">
        <v>45417</v>
      </c>
      <c r="B13" s="102">
        <v>505006</v>
      </c>
      <c r="C13" s="86" t="s">
        <v>6</v>
      </c>
      <c r="D13" s="87">
        <v>45242268061</v>
      </c>
      <c r="E13" s="88" t="str">
        <f>IFERROR(VLOOKUP(D13,ProductMaster!$A:$B,2,FALSE),"")</f>
        <v>129226207</v>
      </c>
      <c r="F13" s="88" t="str">
        <f>IFERROR(VLOOKUP(D13,ProductMaster!$A:$C,3,FALSE),"")</f>
        <v>48-22-1905</v>
      </c>
      <c r="G13" s="89" t="str">
        <f>IFERROR(VLOOKUP($D13,ProductMaster!$A:$O,4,FALSE),"")</f>
        <v xml:space="preserve">ใบมีดอเนกประสงค์ 5ใบ </v>
      </c>
      <c r="H13" s="90">
        <v>1</v>
      </c>
      <c r="I13" s="123">
        <f>IFERROR(VLOOKUP(E13,ProductMaster!B:G,6,FALSE),0)</f>
        <v>82.242990654205613</v>
      </c>
      <c r="J13" s="123">
        <f t="shared" si="0"/>
        <v>5.76</v>
      </c>
      <c r="K13" s="123">
        <f t="shared" si="1"/>
        <v>82.24</v>
      </c>
      <c r="L13" s="148"/>
      <c r="M13" s="92" t="s">
        <v>125</v>
      </c>
      <c r="N13" s="92" t="s">
        <v>1711</v>
      </c>
      <c r="O13" s="93">
        <v>0</v>
      </c>
      <c r="P13" s="86" t="s">
        <v>129</v>
      </c>
      <c r="Q13" s="82">
        <f t="shared" si="2"/>
        <v>2</v>
      </c>
      <c r="R13" s="124">
        <f t="shared" ca="1" si="3"/>
        <v>1099.06</v>
      </c>
      <c r="S13" s="83">
        <v>505012</v>
      </c>
      <c r="T13" s="124">
        <f t="shared" ca="1" si="6"/>
        <v>1175.9942000000001</v>
      </c>
    </row>
    <row r="14" spans="1:65" ht="20.100000000000001" customHeight="1">
      <c r="A14" s="85">
        <v>45417</v>
      </c>
      <c r="B14" s="102">
        <v>505007</v>
      </c>
      <c r="C14" s="86" t="s">
        <v>6</v>
      </c>
      <c r="D14" s="87">
        <v>45242509188</v>
      </c>
      <c r="E14" s="88" t="str">
        <f>IFERROR(VLOOKUP(D14,ProductMaster!$A:$B,2,FALSE),"")</f>
        <v>006067601</v>
      </c>
      <c r="F14" s="88" t="str">
        <f>IFERROR(VLOOKUP(D14,ProductMaster!$A:$C,3,FALSE),"")</f>
        <v>48-22-8902</v>
      </c>
      <c r="G14" s="89" t="str">
        <f>IFERROR(VLOOKUP($D14,ProductMaster!$A:$O,4,FALSE),"")</f>
        <v xml:space="preserve">ถุงมือกันบาด Cut 1 Dipped Gloves - L </v>
      </c>
      <c r="H14" s="90">
        <v>1</v>
      </c>
      <c r="I14" s="123">
        <f>IFERROR(VLOOKUP(E14,ProductMaster!B:G,6,FALSE),0)</f>
        <v>157.00934579439252</v>
      </c>
      <c r="J14" s="123">
        <f t="shared" si="0"/>
        <v>10.99</v>
      </c>
      <c r="K14" s="123">
        <f t="shared" si="1"/>
        <v>157.01</v>
      </c>
      <c r="L14" s="148"/>
      <c r="M14" s="92" t="s">
        <v>125</v>
      </c>
      <c r="N14" s="92" t="s">
        <v>1711</v>
      </c>
      <c r="O14" s="93">
        <v>0</v>
      </c>
      <c r="P14" s="86" t="s">
        <v>129</v>
      </c>
      <c r="Q14" s="82">
        <f t="shared" si="2"/>
        <v>1</v>
      </c>
      <c r="R14" s="124">
        <f t="shared" ca="1" si="3"/>
        <v>938.32</v>
      </c>
      <c r="S14" s="149">
        <v>505013</v>
      </c>
      <c r="T14" s="124">
        <f t="shared" ca="1" si="6"/>
        <v>1004.0024000000001</v>
      </c>
    </row>
    <row r="15" spans="1:65" ht="20.25" customHeight="1">
      <c r="A15" s="85">
        <v>45417</v>
      </c>
      <c r="B15" s="102">
        <v>505007</v>
      </c>
      <c r="C15" s="86" t="s">
        <v>6</v>
      </c>
      <c r="D15" s="94">
        <v>45242573912</v>
      </c>
      <c r="E15" s="88" t="str">
        <f>IFERROR(VLOOKUP(D15,ProductMaster!$A:$B,2,FALSE),"")</f>
        <v>006105507</v>
      </c>
      <c r="F15" s="88" t="str">
        <f>IFERROR(VLOOKUP(D15,ProductMaster!$A:$C,3,FALSE),"")</f>
        <v>48-22-1505</v>
      </c>
      <c r="G15" s="89" t="str">
        <f>IFERROR(VLOOKUP($D15,ProductMaster!$A:$O,4,FALSE),"")</f>
        <v xml:space="preserve">มีดพับอเนกประสงค์ พร้อมช่องเก็บใบมีด รุ่น FASTBACK™ 6 IN 1 </v>
      </c>
      <c r="H15" s="90">
        <v>1</v>
      </c>
      <c r="I15" s="123">
        <f>IFERROR(VLOOKUP(E15,ProductMaster!B:G,6,FALSE),0)</f>
        <v>699.06542056074761</v>
      </c>
      <c r="J15" s="123">
        <f t="shared" si="0"/>
        <v>48.93</v>
      </c>
      <c r="K15" s="123">
        <f t="shared" si="1"/>
        <v>699.07</v>
      </c>
      <c r="L15" s="148"/>
      <c r="M15" s="92" t="s">
        <v>125</v>
      </c>
      <c r="N15" s="92" t="s">
        <v>1711</v>
      </c>
      <c r="O15" s="93">
        <v>0</v>
      </c>
      <c r="P15" s="86" t="s">
        <v>129</v>
      </c>
      <c r="Q15" s="82">
        <f t="shared" si="2"/>
        <v>2</v>
      </c>
      <c r="R15" s="124">
        <f t="shared" ca="1" si="3"/>
        <v>4287.8500000000004</v>
      </c>
      <c r="S15" s="83">
        <v>505014</v>
      </c>
      <c r="T15" s="124">
        <f t="shared" ca="1" si="6"/>
        <v>4587.9995000000008</v>
      </c>
    </row>
    <row r="16" spans="1:65" ht="20.25" customHeight="1">
      <c r="A16" s="85">
        <v>45417</v>
      </c>
      <c r="B16" s="102">
        <v>505008</v>
      </c>
      <c r="C16" s="86" t="s">
        <v>6</v>
      </c>
      <c r="D16" s="87">
        <v>45242509287</v>
      </c>
      <c r="E16" s="88" t="str">
        <f>IFERROR(VLOOKUP(D16,ProductMaster!$A:$B,2,FALSE),"")</f>
        <v>006068601</v>
      </c>
      <c r="F16" s="88" t="str">
        <f>IFERROR(VLOOKUP(D16,ProductMaster!$A:$C,3,FALSE),"")</f>
        <v>48-22-8952</v>
      </c>
      <c r="G16" s="89" t="str">
        <f>IFERROR(VLOOKUP($D16,ProductMaster!$A:$O,4,FALSE),"")</f>
        <v xml:space="preserve">ถุงมือกันบาด Cut 5 Dipped Gloves - L </v>
      </c>
      <c r="H16" s="90">
        <v>1</v>
      </c>
      <c r="I16" s="123">
        <f>IFERROR(VLOOKUP(E16,ProductMaster!B:G,6,FALSE),0)</f>
        <v>558.87850467289718</v>
      </c>
      <c r="J16" s="123">
        <f t="shared" ref="J16" si="13">ROUND(SUM(I16*7%),2)</f>
        <v>39.119999999999997</v>
      </c>
      <c r="K16" s="123">
        <f t="shared" ref="K16" si="14">ROUND(SUM(H16*I16),2)</f>
        <v>558.88</v>
      </c>
      <c r="L16" s="148"/>
      <c r="M16" s="92" t="s">
        <v>127</v>
      </c>
      <c r="N16" s="92" t="s">
        <v>1711</v>
      </c>
      <c r="O16" s="93">
        <v>0</v>
      </c>
      <c r="P16" s="86" t="s">
        <v>129</v>
      </c>
      <c r="Q16" s="82">
        <f t="shared" si="2"/>
        <v>1</v>
      </c>
      <c r="R16" s="124">
        <f t="shared" ca="1" si="3"/>
        <v>829.91</v>
      </c>
      <c r="S16" s="149">
        <v>505015</v>
      </c>
      <c r="T16" s="124">
        <f t="shared" ca="1" si="6"/>
        <v>888.00369999999998</v>
      </c>
    </row>
    <row r="17" spans="1:65" ht="20.25" customHeight="1">
      <c r="A17" s="85">
        <v>45417</v>
      </c>
      <c r="B17" s="102">
        <v>505008</v>
      </c>
      <c r="C17" s="86" t="s">
        <v>6</v>
      </c>
      <c r="D17" s="87">
        <v>45242509188</v>
      </c>
      <c r="E17" s="88" t="str">
        <f>IFERROR(VLOOKUP(D17,ProductMaster!$A:$B,2,FALSE),"")</f>
        <v>006067601</v>
      </c>
      <c r="F17" s="88" t="str">
        <f>IFERROR(VLOOKUP(D17,ProductMaster!$A:$C,3,FALSE),"")</f>
        <v>48-22-8902</v>
      </c>
      <c r="G17" s="89" t="str">
        <f>IFERROR(VLOOKUP($D17,ProductMaster!$A:$O,4,FALSE),"")</f>
        <v xml:space="preserve">ถุงมือกันบาด Cut 1 Dipped Gloves - L </v>
      </c>
      <c r="H17" s="90">
        <v>1</v>
      </c>
      <c r="I17" s="123">
        <f>IFERROR(VLOOKUP(E17,ProductMaster!B:G,6,FALSE),0)</f>
        <v>157.00934579439252</v>
      </c>
      <c r="J17" s="123">
        <f t="shared" si="0"/>
        <v>10.99</v>
      </c>
      <c r="K17" s="123">
        <f t="shared" ref="K17:K73" si="15">ROUND(SUM(H17*I17),2)</f>
        <v>157.01</v>
      </c>
      <c r="L17" s="148"/>
      <c r="M17" s="92" t="s">
        <v>127</v>
      </c>
      <c r="N17" s="92" t="s">
        <v>1711</v>
      </c>
      <c r="O17" s="93">
        <v>0</v>
      </c>
      <c r="P17" s="86" t="s">
        <v>129</v>
      </c>
      <c r="Q17" s="82">
        <f t="shared" si="2"/>
        <v>2</v>
      </c>
      <c r="R17" s="124">
        <f t="shared" ca="1" si="3"/>
        <v>25403.74</v>
      </c>
      <c r="S17" s="83">
        <v>505016</v>
      </c>
      <c r="T17" s="124">
        <f t="shared" ca="1" si="6"/>
        <v>27182.001800000002</v>
      </c>
    </row>
    <row r="18" spans="1:65" ht="20.25" customHeight="1">
      <c r="A18" s="85">
        <v>45417</v>
      </c>
      <c r="B18" s="102">
        <v>505009</v>
      </c>
      <c r="C18" s="86" t="s">
        <v>6</v>
      </c>
      <c r="D18" s="87">
        <v>45242502691</v>
      </c>
      <c r="E18" s="88" t="str">
        <f>IFERROR(VLOOKUP(D18,ProductMaster!$A:$B,2,FALSE),"")</f>
        <v>076002284</v>
      </c>
      <c r="F18" s="88" t="str">
        <f>IFERROR(VLOOKUP(D18,ProductMaster!$A:$C,3,FALSE),"")</f>
        <v>48-22-7816</v>
      </c>
      <c r="G18" s="89" t="str">
        <f>IFERROR(VLOOKUP($D18,ProductMaster!$A:$O,4,FALSE),"")</f>
        <v>ตลับเมตรรุ่น RED 5 เมตร/16 ฟุต</v>
      </c>
      <c r="H18" s="90">
        <v>1</v>
      </c>
      <c r="I18" s="123">
        <f>IFERROR(VLOOKUP(E18,ProductMaster!B:G,6,FALSE),0)</f>
        <v>287.85046728971963</v>
      </c>
      <c r="J18" s="123">
        <f t="shared" si="0"/>
        <v>20.149999999999999</v>
      </c>
      <c r="K18" s="123">
        <f t="shared" si="15"/>
        <v>287.85000000000002</v>
      </c>
      <c r="L18" s="148"/>
      <c r="M18" s="92" t="s">
        <v>127</v>
      </c>
      <c r="N18" s="92" t="s">
        <v>1711</v>
      </c>
      <c r="O18" s="93">
        <v>0</v>
      </c>
      <c r="P18" s="86" t="s">
        <v>129</v>
      </c>
      <c r="Q18" s="82">
        <f t="shared" si="2"/>
        <v>1</v>
      </c>
      <c r="R18" s="124">
        <f t="shared" ca="1" si="3"/>
        <v>818.7</v>
      </c>
      <c r="S18" s="149">
        <v>505017</v>
      </c>
      <c r="T18" s="124">
        <f t="shared" ca="1" si="6"/>
        <v>876.00900000000013</v>
      </c>
    </row>
    <row r="19" spans="1:65" ht="20.25" customHeight="1">
      <c r="A19" s="85">
        <v>45417</v>
      </c>
      <c r="B19" s="102">
        <v>505010</v>
      </c>
      <c r="C19" s="86" t="s">
        <v>6</v>
      </c>
      <c r="D19" s="87" t="s">
        <v>1671</v>
      </c>
      <c r="E19" s="88" t="str">
        <f>IFERROR(VLOOKUP(D19,ProductMaster!$A:$B,2,FALSE),"")</f>
        <v>001997033-(BF)</v>
      </c>
      <c r="F19" s="88" t="str">
        <f>IFERROR(VLOOKUP(D19,ProductMaster!$A:$C,3,FALSE),"")</f>
        <v>M12HB5-(BF)</v>
      </c>
      <c r="G19" s="89" t="str">
        <f>IFERROR(VLOOKUP($D19,ProductMaster!$A:$O,4,FALSE),"")</f>
        <v>แบตเตอรี่ 12 โวลต์ 5.0 แอมป์อาว HIGH OUTPUT</v>
      </c>
      <c r="H19" s="90">
        <v>1</v>
      </c>
      <c r="I19" s="123">
        <f>IFERROR(VLOOKUP(E19,ProductMaster!B:G,6,FALSE),0)</f>
        <v>1485.981308411215</v>
      </c>
      <c r="J19" s="123">
        <f t="shared" ref="J19:J66" si="16">ROUND(SUM(I19*7%),2)</f>
        <v>104.02</v>
      </c>
      <c r="K19" s="123">
        <f t="shared" ref="K19:K66" si="17">ROUND(SUM(H19*I19),2)</f>
        <v>1485.98</v>
      </c>
      <c r="L19" s="148"/>
      <c r="M19" s="92" t="s">
        <v>127</v>
      </c>
      <c r="N19" s="92" t="s">
        <v>1711</v>
      </c>
      <c r="O19" s="93">
        <v>0</v>
      </c>
      <c r="P19" s="86" t="s">
        <v>129</v>
      </c>
      <c r="Q19" s="82">
        <f t="shared" si="2"/>
        <v>1</v>
      </c>
      <c r="R19" s="124">
        <f t="shared" ca="1" si="3"/>
        <v>633.64</v>
      </c>
      <c r="S19" s="83">
        <v>505018</v>
      </c>
      <c r="T19" s="124">
        <f t="shared" ca="1" si="6"/>
        <v>677.99480000000005</v>
      </c>
    </row>
    <row r="20" spans="1:65" ht="20.25" customHeight="1">
      <c r="A20" s="85">
        <v>45417</v>
      </c>
      <c r="B20" s="102">
        <v>505010</v>
      </c>
      <c r="C20" s="86" t="s">
        <v>6</v>
      </c>
      <c r="D20" s="87">
        <v>45242505326</v>
      </c>
      <c r="E20" s="88" t="str">
        <f>IFERROR(VLOOKUP(D20,ProductMaster!$A:$B,2,FALSE),"")</f>
        <v>129305053</v>
      </c>
      <c r="F20" s="88" t="str">
        <f>IFERROR(VLOOKUP(D20,ProductMaster!$A:$C,3,FALSE),"")</f>
        <v>48-22-8435</v>
      </c>
      <c r="G20" s="89" t="str">
        <f>IFERROR(VLOOKUP($D20,ProductMaster!$A:$O,4,FALSE),"")</f>
        <v xml:space="preserve">กล่องอุปกรณ์ช่าง PACKOUT Compact Organizer </v>
      </c>
      <c r="H20" s="90">
        <v>1</v>
      </c>
      <c r="I20" s="123">
        <f>IFERROR(VLOOKUP(E20,ProductMaster!B:G,6,FALSE),0)</f>
        <v>1297.1962616822429</v>
      </c>
      <c r="J20" s="123">
        <f t="shared" si="16"/>
        <v>90.8</v>
      </c>
      <c r="K20" s="123">
        <f t="shared" si="17"/>
        <v>1297.2</v>
      </c>
      <c r="L20" s="148"/>
      <c r="M20" s="92" t="s">
        <v>127</v>
      </c>
      <c r="N20" s="92" t="s">
        <v>1711</v>
      </c>
      <c r="O20" s="93">
        <v>0</v>
      </c>
      <c r="P20" s="86" t="s">
        <v>129</v>
      </c>
      <c r="Q20" s="82">
        <f t="shared" si="2"/>
        <v>2</v>
      </c>
      <c r="R20" s="124">
        <f t="shared" ca="1" si="3"/>
        <v>60564.5</v>
      </c>
      <c r="S20" s="149">
        <v>505019</v>
      </c>
      <c r="T20" s="124">
        <f t="shared" ca="1" si="6"/>
        <v>64804.015000000007</v>
      </c>
    </row>
    <row r="21" spans="1:65" s="181" customFormat="1" ht="20.25" customHeight="1">
      <c r="A21" s="154">
        <v>45417</v>
      </c>
      <c r="B21" s="155">
        <v>505011</v>
      </c>
      <c r="C21" s="156" t="s">
        <v>47</v>
      </c>
      <c r="D21" s="157">
        <v>45242268061</v>
      </c>
      <c r="E21" s="174" t="str">
        <f>IFERROR(VLOOKUP(D21,ProductMaster!$A:$B,2,FALSE),"")</f>
        <v>129226207</v>
      </c>
      <c r="F21" s="174" t="str">
        <f>IFERROR(VLOOKUP(D21,ProductMaster!$A:$C,3,FALSE),"")</f>
        <v>48-22-1905</v>
      </c>
      <c r="G21" s="175" t="str">
        <f>IFERROR(VLOOKUP($D21,ProductMaster!$A:$O,4,FALSE),"")</f>
        <v xml:space="preserve">ใบมีดอเนกประสงค์ 5ใบ </v>
      </c>
      <c r="H21" s="176">
        <v>1</v>
      </c>
      <c r="I21" s="177">
        <f>IFERROR(VLOOKUP(E21,ProductMaster!B:G,6,FALSE),0)</f>
        <v>82.242990654205613</v>
      </c>
      <c r="J21" s="177">
        <f t="shared" si="16"/>
        <v>5.76</v>
      </c>
      <c r="K21" s="177">
        <f t="shared" si="17"/>
        <v>82.24</v>
      </c>
      <c r="L21" s="148"/>
      <c r="M21" s="178" t="s">
        <v>127</v>
      </c>
      <c r="N21" s="178" t="s">
        <v>1711</v>
      </c>
      <c r="O21" s="179">
        <v>0</v>
      </c>
      <c r="P21" s="156" t="s">
        <v>1709</v>
      </c>
      <c r="Q21" s="173">
        <f t="shared" si="2"/>
        <v>1</v>
      </c>
      <c r="R21" s="124">
        <f t="shared" ca="1" si="3"/>
        <v>8676.630000000001</v>
      </c>
      <c r="S21" s="173">
        <v>505020</v>
      </c>
      <c r="T21" s="180">
        <f t="shared" ca="1" si="6"/>
        <v>9283.9941000000017</v>
      </c>
      <c r="U21" s="151" t="s">
        <v>1921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</row>
    <row r="22" spans="1:65" ht="20.25" customHeight="1">
      <c r="A22" s="85">
        <v>45417</v>
      </c>
      <c r="B22" s="152">
        <v>505012</v>
      </c>
      <c r="C22" s="86" t="s">
        <v>1875</v>
      </c>
      <c r="D22" s="87">
        <v>45242645701</v>
      </c>
      <c r="E22" s="88" t="str">
        <f>IFERROR(VLOOKUP(D22,ProductMaster!$A:$B,2,FALSE),"")</f>
        <v>006157301</v>
      </c>
      <c r="F22" s="88" t="str">
        <f>IFERROR(VLOOKUP(D22,ProductMaster!$A:$C,3,FALSE),"")</f>
        <v>48-22-2184</v>
      </c>
      <c r="G22" s="89" t="str">
        <f>IFERROR(VLOOKUP($D22,ProductMaster!$A:$O,4,FALSE),"")</f>
        <v>ประแจหกเหลี่ยมหัวทอร์คแบบพับเก็บ 8 ชิ้น</v>
      </c>
      <c r="H22" s="90">
        <v>1</v>
      </c>
      <c r="I22" s="123">
        <f>IFERROR(VLOOKUP(E22,ProductMaster!B:G,6,FALSE),0)</f>
        <v>549.53271028037386</v>
      </c>
      <c r="J22" s="123">
        <f t="shared" si="16"/>
        <v>38.47</v>
      </c>
      <c r="K22" s="123">
        <f t="shared" si="17"/>
        <v>549.53</v>
      </c>
      <c r="L22" s="148"/>
      <c r="M22" s="92" t="s">
        <v>127</v>
      </c>
      <c r="N22" s="92" t="s">
        <v>1711</v>
      </c>
      <c r="O22" s="93">
        <v>0</v>
      </c>
      <c r="P22" s="86" t="s">
        <v>1709</v>
      </c>
      <c r="Q22" s="82">
        <f t="shared" si="2"/>
        <v>1</v>
      </c>
      <c r="R22" s="124">
        <f t="shared" ca="1" si="3"/>
        <v>633.64</v>
      </c>
      <c r="S22" s="149">
        <v>505021</v>
      </c>
      <c r="T22" s="124">
        <f t="shared" ca="1" si="6"/>
        <v>677.99480000000005</v>
      </c>
    </row>
    <row r="23" spans="1:65" ht="20.25" customHeight="1">
      <c r="A23" s="85">
        <v>45417</v>
      </c>
      <c r="B23" s="152">
        <v>505012</v>
      </c>
      <c r="C23" s="86" t="s">
        <v>1875</v>
      </c>
      <c r="D23" s="87">
        <v>45242630585</v>
      </c>
      <c r="E23" s="88" t="str">
        <f>IFERROR(VLOOKUP(D23,ProductMaster!$A:$B,2,FALSE),"")</f>
        <v>006138701</v>
      </c>
      <c r="F23" s="88" t="str">
        <f>IFERROR(VLOOKUP(D23,ProductMaster!$A:$C,3,FALSE),"")</f>
        <v>48-22-2182</v>
      </c>
      <c r="G23" s="89" t="str">
        <f>IFERROR(VLOOKUP($D23,ProductMaster!$A:$O,4,FALSE),"")</f>
        <v>ประแจหกเหลี่ยมแบบพับเก็บ 8 ชิ้น</v>
      </c>
      <c r="H23" s="90">
        <v>1</v>
      </c>
      <c r="I23" s="123">
        <f>IFERROR(VLOOKUP(E23,ProductMaster!B:G,6,FALSE),0)</f>
        <v>549.53271028037386</v>
      </c>
      <c r="J23" s="123">
        <f t="shared" si="16"/>
        <v>38.47</v>
      </c>
      <c r="K23" s="123">
        <f t="shared" si="17"/>
        <v>549.53</v>
      </c>
      <c r="L23" s="148"/>
      <c r="M23" s="92" t="s">
        <v>127</v>
      </c>
      <c r="N23" s="92" t="s">
        <v>1711</v>
      </c>
      <c r="O23" s="93">
        <v>0</v>
      </c>
      <c r="P23" s="86" t="s">
        <v>1709</v>
      </c>
      <c r="Q23" s="82">
        <f t="shared" si="2"/>
        <v>2</v>
      </c>
      <c r="R23" s="124">
        <f t="shared" ca="1" si="3"/>
        <v>633.64</v>
      </c>
      <c r="S23" s="83">
        <v>505022</v>
      </c>
      <c r="T23" s="124">
        <f t="shared" ca="1" si="6"/>
        <v>677.99480000000005</v>
      </c>
    </row>
    <row r="24" spans="1:65" ht="20.25" customHeight="1">
      <c r="A24" s="85">
        <v>45417</v>
      </c>
      <c r="B24" s="152">
        <v>505013</v>
      </c>
      <c r="C24" s="86" t="s">
        <v>6</v>
      </c>
      <c r="D24" s="87">
        <v>45242534395</v>
      </c>
      <c r="E24" s="88" t="str">
        <f>IFERROR(VLOOKUP(D24,ProductMaster!$A:$B,2,FALSE),"")</f>
        <v>006084404</v>
      </c>
      <c r="F24" s="88" t="str">
        <f>IFERROR(VLOOKUP(D24,ProductMaster!$A:$C,3,FALSE),"")</f>
        <v>48-22-1906</v>
      </c>
      <c r="G24" s="89" t="str">
        <f>IFERROR(VLOOKUP($D24,ProductMaster!$A:$O,4,FALSE),"")</f>
        <v>มีดพับคอมแพ็คอเนกประสงค์</v>
      </c>
      <c r="H24" s="90">
        <v>1</v>
      </c>
      <c r="I24" s="123">
        <f>IFERROR(VLOOKUP(E24,ProductMaster!B:G,6,FALSE),0)</f>
        <v>446.72897196261681</v>
      </c>
      <c r="J24" s="123">
        <f t="shared" si="16"/>
        <v>31.27</v>
      </c>
      <c r="K24" s="123">
        <f t="shared" si="17"/>
        <v>446.73</v>
      </c>
      <c r="L24" s="148"/>
      <c r="M24" s="92" t="s">
        <v>125</v>
      </c>
      <c r="N24" s="92" t="s">
        <v>1711</v>
      </c>
      <c r="O24" s="93">
        <v>0</v>
      </c>
      <c r="P24" s="86" t="s">
        <v>129</v>
      </c>
      <c r="Q24" s="82">
        <f t="shared" si="2"/>
        <v>1</v>
      </c>
      <c r="R24" s="124">
        <f t="shared" ca="1" si="3"/>
        <v>2390.65</v>
      </c>
      <c r="S24" s="149">
        <v>505023</v>
      </c>
      <c r="T24" s="124">
        <f t="shared" ca="1" si="6"/>
        <v>2557.9955000000004</v>
      </c>
    </row>
    <row r="25" spans="1:65" ht="20.25" customHeight="1">
      <c r="A25" s="85">
        <v>45417</v>
      </c>
      <c r="B25" s="152">
        <v>505013</v>
      </c>
      <c r="C25" s="86" t="s">
        <v>6</v>
      </c>
      <c r="D25" s="87">
        <v>45242268061</v>
      </c>
      <c r="E25" s="88" t="str">
        <f>IFERROR(VLOOKUP(D25,ProductMaster!$A:$B,2,FALSE),"")</f>
        <v>129226207</v>
      </c>
      <c r="F25" s="88" t="str">
        <f>IFERROR(VLOOKUP(D25,ProductMaster!$A:$C,3,FALSE),"")</f>
        <v>48-22-1905</v>
      </c>
      <c r="G25" s="89" t="str">
        <f>IFERROR(VLOOKUP($D25,ProductMaster!$A:$O,4,FALSE),"")</f>
        <v xml:space="preserve">ใบมีดอเนกประสงค์ 5ใบ </v>
      </c>
      <c r="H25" s="90">
        <v>1</v>
      </c>
      <c r="I25" s="123">
        <f>IFERROR(VLOOKUP(E25,ProductMaster!B:G,6,FALSE),0)</f>
        <v>82.242990654205613</v>
      </c>
      <c r="J25" s="123">
        <f t="shared" si="16"/>
        <v>5.76</v>
      </c>
      <c r="K25" s="123">
        <f t="shared" si="17"/>
        <v>82.24</v>
      </c>
      <c r="L25" s="148"/>
      <c r="M25" s="92" t="s">
        <v>125</v>
      </c>
      <c r="N25" s="92" t="s">
        <v>1711</v>
      </c>
      <c r="O25" s="93">
        <v>0</v>
      </c>
      <c r="P25" s="86" t="s">
        <v>129</v>
      </c>
      <c r="Q25" s="82">
        <f t="shared" si="2"/>
        <v>2</v>
      </c>
      <c r="R25" s="124">
        <f t="shared" ca="1" si="3"/>
        <v>29555.15</v>
      </c>
      <c r="S25" s="83">
        <v>505024</v>
      </c>
      <c r="T25" s="124">
        <f t="shared" ca="1" si="6"/>
        <v>31624.010500000004</v>
      </c>
    </row>
    <row r="26" spans="1:65" ht="20.25" customHeight="1">
      <c r="A26" s="85">
        <v>45417</v>
      </c>
      <c r="B26" s="152">
        <v>505013</v>
      </c>
      <c r="C26" s="86" t="s">
        <v>6</v>
      </c>
      <c r="D26" s="87">
        <v>45242082834</v>
      </c>
      <c r="E26" s="88" t="str">
        <f>IFERROR(VLOOKUP(D26,ProductMaster!$A:$B,2,FALSE),"")</f>
        <v>129221226</v>
      </c>
      <c r="F26" s="88" t="str">
        <f>IFERROR(VLOOKUP(D26,ProductMaster!$A:$C,3,FALSE),"")</f>
        <v>48-00-5182</v>
      </c>
      <c r="G26" s="89" t="str">
        <f>IFERROR(VLOOKUP($D26,ProductMaster!$A:$O,4,FALSE),"")</f>
        <v>ใบเลื่อยซอว์ซอลตัดเหล็ก 6" Thin Kerf 14 TPI (5 ใบ)</v>
      </c>
      <c r="H26" s="90">
        <v>1</v>
      </c>
      <c r="I26" s="123">
        <f>IFERROR(VLOOKUP(E26,ProductMaster!B:G,6,FALSE),0)</f>
        <v>409.34579439252337</v>
      </c>
      <c r="J26" s="123">
        <f t="shared" si="16"/>
        <v>28.65</v>
      </c>
      <c r="K26" s="123">
        <f t="shared" si="17"/>
        <v>409.35</v>
      </c>
      <c r="L26" s="148"/>
      <c r="M26" s="92" t="s">
        <v>125</v>
      </c>
      <c r="N26" s="92" t="s">
        <v>1711</v>
      </c>
      <c r="O26" s="93">
        <v>0</v>
      </c>
      <c r="P26" s="86" t="s">
        <v>129</v>
      </c>
      <c r="Q26" s="82">
        <f t="shared" si="2"/>
        <v>3</v>
      </c>
      <c r="R26" s="124">
        <f t="shared" ca="1" si="3"/>
        <v>6080.3799999999992</v>
      </c>
      <c r="S26" s="149">
        <v>505025</v>
      </c>
      <c r="T26" s="124">
        <f t="shared" ca="1" si="6"/>
        <v>6506.0065999999997</v>
      </c>
    </row>
    <row r="27" spans="1:65" ht="20.25" customHeight="1">
      <c r="A27" s="85">
        <v>45417</v>
      </c>
      <c r="B27" s="152">
        <v>505014</v>
      </c>
      <c r="C27" s="86" t="s">
        <v>6</v>
      </c>
      <c r="D27" s="87">
        <v>45242531684</v>
      </c>
      <c r="E27" s="88" t="str">
        <f>IFERROR(VLOOKUP(D27,ProductMaster!$A:$B,2,FALSE),"")</f>
        <v>006082201</v>
      </c>
      <c r="F27" s="88" t="str">
        <f>IFERROR(VLOOKUP(D27,ProductMaster!$A:$C,3,FALSE),"")</f>
        <v>48-22-8301</v>
      </c>
      <c r="G27" s="89" t="str">
        <f>IFERROR(VLOOKUP($D27,ProductMaster!$A:$O,4,FALSE),"")</f>
        <v xml:space="preserve">เป้สะพายหลังใส่เครื่องมือ PACKOUT Backpack </v>
      </c>
      <c r="H27" s="90">
        <v>1</v>
      </c>
      <c r="I27" s="123">
        <f>IFERROR(VLOOKUP(E27,ProductMaster!B:G,6,FALSE),0)</f>
        <v>4287.8504672897197</v>
      </c>
      <c r="J27" s="123">
        <f t="shared" si="16"/>
        <v>300.14999999999998</v>
      </c>
      <c r="K27" s="123">
        <f t="shared" si="17"/>
        <v>4287.8500000000004</v>
      </c>
      <c r="L27" s="148"/>
      <c r="M27" s="92" t="s">
        <v>123</v>
      </c>
      <c r="N27" s="92" t="s">
        <v>1711</v>
      </c>
      <c r="O27" s="93">
        <v>0</v>
      </c>
      <c r="P27" s="86" t="s">
        <v>129</v>
      </c>
      <c r="Q27" s="82">
        <f t="shared" si="2"/>
        <v>1</v>
      </c>
      <c r="R27" s="124">
        <f t="shared" ca="1" si="3"/>
        <v>17652.34</v>
      </c>
      <c r="S27" s="83">
        <v>505026</v>
      </c>
      <c r="T27" s="124">
        <f t="shared" ca="1" si="6"/>
        <v>18888.003800000002</v>
      </c>
    </row>
    <row r="28" spans="1:65" ht="20.25" customHeight="1">
      <c r="A28" s="85">
        <v>45417</v>
      </c>
      <c r="B28" s="152">
        <v>505015</v>
      </c>
      <c r="C28" s="86" t="s">
        <v>6</v>
      </c>
      <c r="D28" s="87">
        <v>45242638796</v>
      </c>
      <c r="E28" s="88" t="str">
        <f>IFERROR(VLOOKUP(D28,ProductMaster!$A:$B,2,FALSE),"")</f>
        <v>006143201</v>
      </c>
      <c r="F28" s="88" t="str">
        <f>IFERROR(VLOOKUP(D28,ProductMaster!$A:$C,3,FALSE),"")</f>
        <v>48-22-0307</v>
      </c>
      <c r="G28" s="89" t="str">
        <f>IFERROR(VLOOKUP($D28,ProductMaster!$A:$O,4,FALSE),"")</f>
        <v>เลื่อยอเนกประสงค์แบบพับ</v>
      </c>
      <c r="H28" s="90">
        <v>1</v>
      </c>
      <c r="I28" s="123">
        <f>IFERROR(VLOOKUP(E28,ProductMaster!B:G,6,FALSE),0)</f>
        <v>829.90654205607473</v>
      </c>
      <c r="J28" s="123">
        <f t="shared" si="16"/>
        <v>58.09</v>
      </c>
      <c r="K28" s="123">
        <f t="shared" si="17"/>
        <v>829.91</v>
      </c>
      <c r="L28" s="148"/>
      <c r="M28" s="92" t="s">
        <v>127</v>
      </c>
      <c r="N28" s="92" t="s">
        <v>1711</v>
      </c>
      <c r="O28" s="93">
        <v>0</v>
      </c>
      <c r="P28" s="86" t="s">
        <v>129</v>
      </c>
      <c r="Q28" s="82">
        <f t="shared" si="2"/>
        <v>1</v>
      </c>
      <c r="R28" s="124">
        <f t="shared" ca="1" si="3"/>
        <v>17652.34</v>
      </c>
      <c r="S28" s="149">
        <v>505027</v>
      </c>
      <c r="T28" s="124">
        <f t="shared" ca="1" si="6"/>
        <v>18888.003800000002</v>
      </c>
    </row>
    <row r="29" spans="1:65" ht="20.25" customHeight="1">
      <c r="A29" s="85">
        <v>45417</v>
      </c>
      <c r="B29" s="152">
        <v>505016</v>
      </c>
      <c r="C29" s="86" t="s">
        <v>6</v>
      </c>
      <c r="D29" s="87">
        <v>4892210196293</v>
      </c>
      <c r="E29" s="88" t="str">
        <f>IFERROR(VLOOKUP(D29,ProductMaster!$A:$B,2,FALSE),"")</f>
        <v>018508015</v>
      </c>
      <c r="F29" s="88" t="str">
        <f>IFERROR(VLOOKUP(D29,ProductMaster!$A:$C,3,FALSE),"")</f>
        <v>M18 FMTIW2F12-0X0 ASIA</v>
      </c>
      <c r="G29" s="89" t="str">
        <f>IFERROR(VLOOKUP($D29,ProductMaster!$A:$O,4,FALSE),"")</f>
        <v>M18 FUEL บล็อกกระแทกไร้สาย 1/2" มิดทอร์ค</v>
      </c>
      <c r="H29" s="90">
        <v>1</v>
      </c>
      <c r="I29" s="123">
        <f>IFERROR(VLOOKUP(E29,ProductMaster!B:G,6,FALSE),0)</f>
        <v>7465.4205607476633</v>
      </c>
      <c r="J29" s="123">
        <f t="shared" si="16"/>
        <v>522.58000000000004</v>
      </c>
      <c r="K29" s="123">
        <f t="shared" si="17"/>
        <v>7465.42</v>
      </c>
      <c r="L29" s="148"/>
      <c r="M29" s="92" t="s">
        <v>123</v>
      </c>
      <c r="N29" s="92" t="s">
        <v>1711</v>
      </c>
      <c r="O29" s="93">
        <v>0</v>
      </c>
      <c r="P29" s="86" t="s">
        <v>129</v>
      </c>
      <c r="Q29" s="82">
        <f t="shared" si="2"/>
        <v>1</v>
      </c>
      <c r="R29" s="124">
        <f t="shared" ca="1" si="3"/>
        <v>699.07</v>
      </c>
      <c r="S29" s="83">
        <v>505028</v>
      </c>
      <c r="T29" s="124">
        <f t="shared" ca="1" si="6"/>
        <v>748.00490000000013</v>
      </c>
    </row>
    <row r="30" spans="1:65" ht="20.25" customHeight="1">
      <c r="A30" s="85">
        <v>45417</v>
      </c>
      <c r="B30" s="152">
        <v>505016</v>
      </c>
      <c r="C30" s="86" t="s">
        <v>6</v>
      </c>
      <c r="D30" s="87">
        <v>4892210222107</v>
      </c>
      <c r="E30" s="88" t="str">
        <f>IFERROR(VLOOKUP(D30,ProductMaster!$A:$B,2,FALSE),"")</f>
        <v>018677003</v>
      </c>
      <c r="F30" s="88" t="str">
        <f>IFERROR(VLOOKUP(D30,ProductMaster!$A:$C,3,FALSE),"")</f>
        <v>M18 FHS20-0B0 ASIA</v>
      </c>
      <c r="G30" s="89" t="str">
        <f>IFERROR(VLOOKUP($D30,ProductMaster!$A:$O,4,FALSE),"")</f>
        <v>M18 FUEL เลื่อยโซ่ 8”</v>
      </c>
      <c r="H30" s="90">
        <v>1</v>
      </c>
      <c r="I30" s="123">
        <f>IFERROR(VLOOKUP(E30,ProductMaster!B:G,6,FALSE),0)</f>
        <v>9334.5794392523367</v>
      </c>
      <c r="J30" s="123">
        <f t="shared" si="16"/>
        <v>653.41999999999996</v>
      </c>
      <c r="K30" s="123">
        <f t="shared" si="17"/>
        <v>9334.58</v>
      </c>
      <c r="L30" s="148"/>
      <c r="M30" s="92" t="s">
        <v>123</v>
      </c>
      <c r="N30" s="92" t="s">
        <v>1711</v>
      </c>
      <c r="O30" s="93">
        <v>0</v>
      </c>
      <c r="P30" s="86" t="s">
        <v>129</v>
      </c>
      <c r="Q30" s="82">
        <f t="shared" si="2"/>
        <v>2</v>
      </c>
      <c r="R30" s="124">
        <f t="shared" ca="1" si="3"/>
        <v>586.91999999999996</v>
      </c>
      <c r="S30" s="149">
        <v>505029</v>
      </c>
      <c r="T30" s="124">
        <f t="shared" ca="1" si="6"/>
        <v>628.00440000000003</v>
      </c>
    </row>
    <row r="31" spans="1:65" ht="20.25" customHeight="1">
      <c r="A31" s="85">
        <v>45417</v>
      </c>
      <c r="B31" s="152">
        <v>505016</v>
      </c>
      <c r="C31" s="86" t="s">
        <v>6</v>
      </c>
      <c r="D31" s="87" t="s">
        <v>1683</v>
      </c>
      <c r="E31" s="88" t="str">
        <f>IFERROR(VLOOKUP(D31,ProductMaster!$A:$B,2,FALSE),"")</f>
        <v>001998236DG9-(BF)</v>
      </c>
      <c r="F31" s="88" t="str">
        <f>IFERROR(VLOOKUP(D31,ProductMaster!$A:$C,3,FALSE),"")</f>
        <v>M18HB8ASIA-(BF)</v>
      </c>
      <c r="G31" s="89" t="str">
        <f>IFERROR(VLOOKUP($D31,ProductMaster!$A:$O,4,FALSE),"")</f>
        <v>แบตเตอรี่ 18 โวลต์ 8.0 แอมป์อาว HIGH OUTPUT</v>
      </c>
      <c r="H31" s="90">
        <v>1</v>
      </c>
      <c r="I31" s="123">
        <f>IFERROR(VLOOKUP(E31,ProductMaster!B:G,6,FALSE),0)</f>
        <v>3542.0560747663553</v>
      </c>
      <c r="J31" s="123">
        <f t="shared" si="16"/>
        <v>247.94</v>
      </c>
      <c r="K31" s="123">
        <f t="shared" si="17"/>
        <v>3542.06</v>
      </c>
      <c r="L31" s="148">
        <v>500</v>
      </c>
      <c r="M31" s="92" t="s">
        <v>123</v>
      </c>
      <c r="N31" s="92" t="s">
        <v>1711</v>
      </c>
      <c r="O31" s="93">
        <v>0</v>
      </c>
      <c r="P31" s="86" t="s">
        <v>129</v>
      </c>
      <c r="Q31" s="82">
        <f t="shared" si="2"/>
        <v>3</v>
      </c>
      <c r="R31" s="124">
        <f t="shared" ca="1" si="3"/>
        <v>10175.700000000001</v>
      </c>
      <c r="S31" s="83">
        <v>505030</v>
      </c>
      <c r="T31" s="124">
        <f t="shared" ca="1" si="6"/>
        <v>10887.999000000002</v>
      </c>
    </row>
    <row r="32" spans="1:65" ht="20.25" customHeight="1">
      <c r="A32" s="85">
        <v>45417</v>
      </c>
      <c r="B32" s="152">
        <v>505016</v>
      </c>
      <c r="C32" s="86" t="s">
        <v>6</v>
      </c>
      <c r="D32" s="87" t="s">
        <v>1675</v>
      </c>
      <c r="E32" s="88" t="str">
        <f>IFERROR(VLOOKUP(D32,ProductMaster!$A:$B,2,FALSE),"")</f>
        <v>001998238-(BF)</v>
      </c>
      <c r="F32" s="88" t="str">
        <f>IFERROR(VLOOKUP(D32,ProductMaster!$A:$C,3,FALSE),"")</f>
        <v>M18B5ASIA-(BF)</v>
      </c>
      <c r="G32" s="89" t="str">
        <f>IFERROR(VLOOKUP($D32,ProductMaster!$A:$O,4,FALSE),"")</f>
        <v>แบตเตอรี่ 18 โวลต์ 5.0 แอมป์อาว</v>
      </c>
      <c r="H32" s="90">
        <v>1</v>
      </c>
      <c r="I32" s="123">
        <f>IFERROR(VLOOKUP(E32,ProductMaster!B:G,6,FALSE),0)</f>
        <v>1859.8130841121495</v>
      </c>
      <c r="J32" s="123">
        <f t="shared" si="16"/>
        <v>130.19</v>
      </c>
      <c r="K32" s="123">
        <f t="shared" si="17"/>
        <v>1859.81</v>
      </c>
      <c r="L32" s="148"/>
      <c r="M32" s="92" t="s">
        <v>123</v>
      </c>
      <c r="N32" s="92" t="s">
        <v>1711</v>
      </c>
      <c r="O32" s="93">
        <v>0</v>
      </c>
      <c r="P32" s="86" t="s">
        <v>129</v>
      </c>
      <c r="Q32" s="82">
        <f t="shared" si="2"/>
        <v>4</v>
      </c>
      <c r="R32" s="124">
        <f t="shared" ca="1" si="3"/>
        <v>287.85000000000002</v>
      </c>
      <c r="S32" s="149">
        <v>505031</v>
      </c>
      <c r="T32" s="124">
        <f t="shared" ca="1" si="6"/>
        <v>307.99950000000007</v>
      </c>
    </row>
    <row r="33" spans="1:65" ht="20.25" customHeight="1">
      <c r="A33" s="85">
        <v>45417</v>
      </c>
      <c r="B33" s="152">
        <v>505016</v>
      </c>
      <c r="C33" s="86" t="s">
        <v>6</v>
      </c>
      <c r="D33" s="87" t="s">
        <v>1646</v>
      </c>
      <c r="E33" s="88" t="str">
        <f>IFERROR(VLOOKUP(D33,ProductMaster!$A:$B,2,FALSE),"")</f>
        <v>001997014-(BF)</v>
      </c>
      <c r="F33" s="88" t="str">
        <f>IFERROR(VLOOKUP(D33,ProductMaster!$A:$C,3,FALSE),"")</f>
        <v>M12-18FCSA-(BF)</v>
      </c>
      <c r="G33" s="89" t="str">
        <f>IFERROR(VLOOKUP($D33,ProductMaster!$A:$O,4,FALSE),"")</f>
        <v>แท่นชาร์จแบตเตอรี่ 12-18 โวลต์ แบบชาร์จเร็ว</v>
      </c>
      <c r="H33" s="90">
        <v>1</v>
      </c>
      <c r="I33" s="123">
        <f>IFERROR(VLOOKUP(E33,ProductMaster!B:G,6,FALSE),0)</f>
        <v>1766.3551401869158</v>
      </c>
      <c r="J33" s="123">
        <f t="shared" si="16"/>
        <v>123.64</v>
      </c>
      <c r="K33" s="123">
        <f t="shared" si="17"/>
        <v>1766.36</v>
      </c>
      <c r="L33" s="148"/>
      <c r="M33" s="92" t="s">
        <v>123</v>
      </c>
      <c r="N33" s="92" t="s">
        <v>1711</v>
      </c>
      <c r="O33" s="93">
        <v>0</v>
      </c>
      <c r="P33" s="86" t="s">
        <v>129</v>
      </c>
      <c r="Q33" s="82">
        <f t="shared" si="2"/>
        <v>5</v>
      </c>
      <c r="R33" s="124">
        <f t="shared" ca="1" si="3"/>
        <v>633.64</v>
      </c>
      <c r="S33" s="83">
        <v>505032</v>
      </c>
      <c r="T33" s="124">
        <f t="shared" ca="1" si="6"/>
        <v>677.99480000000005</v>
      </c>
    </row>
    <row r="34" spans="1:65" ht="20.25" customHeight="1">
      <c r="A34" s="85">
        <v>45417</v>
      </c>
      <c r="B34" s="152">
        <v>505016</v>
      </c>
      <c r="C34" s="86" t="s">
        <v>6</v>
      </c>
      <c r="D34" s="87">
        <v>4058546404611</v>
      </c>
      <c r="E34" s="88" t="str">
        <f>IFERROR(VLOOKUP(D34,ProductMaster!$A:$B,2,FALSE),"")</f>
        <v>001998668</v>
      </c>
      <c r="F34" s="88">
        <f>IFERROR(VLOOKUP(D34,ProductMaster!$A:$C,3,FALSE),"")</f>
        <v>4932480176</v>
      </c>
      <c r="G34" s="89" t="str">
        <f>IFERROR(VLOOKUP($D34,ProductMaster!$A:$O,4,FALSE),"")</f>
        <v>โซ่เลื่อย 8" สำหรับ M18 FHS</v>
      </c>
      <c r="H34" s="90">
        <v>1</v>
      </c>
      <c r="I34" s="123">
        <f>IFERROR(VLOOKUP(E34,ProductMaster!B:G,6,FALSE),0)</f>
        <v>801.86915887850466</v>
      </c>
      <c r="J34" s="123">
        <f t="shared" si="16"/>
        <v>56.13</v>
      </c>
      <c r="K34" s="123">
        <f t="shared" si="17"/>
        <v>801.87</v>
      </c>
      <c r="L34" s="148"/>
      <c r="M34" s="92" t="s">
        <v>123</v>
      </c>
      <c r="N34" s="92" t="s">
        <v>1711</v>
      </c>
      <c r="O34" s="93">
        <v>0</v>
      </c>
      <c r="P34" s="86" t="s">
        <v>129</v>
      </c>
      <c r="Q34" s="82">
        <f t="shared" si="2"/>
        <v>6</v>
      </c>
      <c r="R34" s="124">
        <f t="shared" ca="1" si="3"/>
        <v>18706.550000000003</v>
      </c>
      <c r="S34" s="149">
        <v>505033</v>
      </c>
      <c r="T34" s="124">
        <f t="shared" ca="1" si="6"/>
        <v>20016.008500000004</v>
      </c>
    </row>
    <row r="35" spans="1:65" ht="20.25" customHeight="1">
      <c r="A35" s="85">
        <v>45417</v>
      </c>
      <c r="B35" s="152">
        <v>505016</v>
      </c>
      <c r="C35" s="86" t="s">
        <v>6</v>
      </c>
      <c r="D35" s="87">
        <v>4058546348144</v>
      </c>
      <c r="E35" s="88" t="str">
        <f>IFERROR(VLOOKUP(D35,ProductMaster!$A:$B,2,FALSE),"")</f>
        <v>006126701</v>
      </c>
      <c r="F35" s="88">
        <f>IFERROR(VLOOKUP(D35,ProductMaster!$A:$C,3,FALSE),"")</f>
        <v>4932478621</v>
      </c>
      <c r="G35" s="89" t="str">
        <f>IFERROR(VLOOKUP($D35,ProductMaster!$A:$O,4,FALSE),"")</f>
        <v>ชุดประแจหกเหลี่ยม 9 ชิ้น</v>
      </c>
      <c r="H35" s="90">
        <v>1</v>
      </c>
      <c r="I35" s="123">
        <f>IFERROR(VLOOKUP(E35,ProductMaster!B:G,6,FALSE),0)</f>
        <v>633.64485981308417</v>
      </c>
      <c r="J35" s="123">
        <f t="shared" si="16"/>
        <v>44.36</v>
      </c>
      <c r="K35" s="123">
        <f t="shared" si="17"/>
        <v>633.64</v>
      </c>
      <c r="L35" s="148"/>
      <c r="M35" s="92" t="s">
        <v>123</v>
      </c>
      <c r="N35" s="92" t="s">
        <v>1711</v>
      </c>
      <c r="O35" s="93">
        <v>0</v>
      </c>
      <c r="P35" s="86" t="s">
        <v>129</v>
      </c>
      <c r="Q35" s="82">
        <f t="shared" si="2"/>
        <v>7</v>
      </c>
      <c r="R35" s="124">
        <f t="shared" ca="1" si="3"/>
        <v>9771.9599999999991</v>
      </c>
      <c r="S35" s="83">
        <v>505034</v>
      </c>
      <c r="T35" s="124">
        <f t="shared" ca="1" si="6"/>
        <v>10455.9972</v>
      </c>
    </row>
    <row r="36" spans="1:65" ht="20.25" customHeight="1">
      <c r="A36" s="85">
        <v>45417</v>
      </c>
      <c r="B36" s="152">
        <v>505017</v>
      </c>
      <c r="C36" s="86" t="s">
        <v>6</v>
      </c>
      <c r="D36" s="87">
        <v>45242475216</v>
      </c>
      <c r="E36" s="88" t="str">
        <f>IFERROR(VLOOKUP(D36,ProductMaster!$A:$B,2,FALSE),"")</f>
        <v>008051202</v>
      </c>
      <c r="F36" s="88" t="str">
        <f>IFERROR(VLOOKUP(D36,ProductMaster!$A:$C,3,FALSE),"")</f>
        <v>48-32-4361</v>
      </c>
      <c r="G36" s="89" t="str">
        <f>IFERROR(VLOOKUP($D36,ProductMaster!$A:$O,4,FALSE),"")</f>
        <v xml:space="preserve">ดอกไขควง PH2-65 มม. Double Ended  (10 ดอก) </v>
      </c>
      <c r="H36" s="90">
        <v>1</v>
      </c>
      <c r="I36" s="123">
        <f>IFERROR(VLOOKUP(E36,ProductMaster!B:G,6,FALSE),0)</f>
        <v>409.34579439252337</v>
      </c>
      <c r="J36" s="123">
        <f t="shared" si="16"/>
        <v>28.65</v>
      </c>
      <c r="K36" s="123">
        <f t="shared" si="17"/>
        <v>409.35</v>
      </c>
      <c r="L36" s="148"/>
      <c r="M36" s="92" t="s">
        <v>127</v>
      </c>
      <c r="N36" s="92" t="s">
        <v>1711</v>
      </c>
      <c r="O36" s="93">
        <v>0</v>
      </c>
      <c r="P36" s="86" t="s">
        <v>129</v>
      </c>
      <c r="Q36" s="82">
        <f t="shared" si="2"/>
        <v>1</v>
      </c>
      <c r="R36" s="124">
        <f t="shared" ca="1" si="3"/>
        <v>409.35</v>
      </c>
      <c r="S36" s="149">
        <v>505035</v>
      </c>
      <c r="T36" s="124">
        <f t="shared" ca="1" si="6"/>
        <v>438.00450000000006</v>
      </c>
    </row>
    <row r="37" spans="1:65" ht="20.25" customHeight="1">
      <c r="A37" s="85">
        <v>45417</v>
      </c>
      <c r="B37" s="152">
        <v>505017</v>
      </c>
      <c r="C37" s="86" t="s">
        <v>6</v>
      </c>
      <c r="D37" s="87">
        <v>45242475216</v>
      </c>
      <c r="E37" s="88" t="str">
        <f>IFERROR(VLOOKUP(D37,ProductMaster!$A:$B,2,FALSE),"")</f>
        <v>008051202</v>
      </c>
      <c r="F37" s="88" t="str">
        <f>IFERROR(VLOOKUP(D37,ProductMaster!$A:$C,3,FALSE),"")</f>
        <v>48-32-4361</v>
      </c>
      <c r="G37" s="89" t="str">
        <f>IFERROR(VLOOKUP($D37,ProductMaster!$A:$O,4,FALSE),"")</f>
        <v xml:space="preserve">ดอกไขควง PH2-65 มม. Double Ended  (10 ดอก) </v>
      </c>
      <c r="H37" s="90">
        <v>1</v>
      </c>
      <c r="I37" s="123">
        <f>IFERROR(VLOOKUP(E37,ProductMaster!B:G,6,FALSE),0)</f>
        <v>409.34579439252337</v>
      </c>
      <c r="J37" s="123">
        <f t="shared" si="16"/>
        <v>28.65</v>
      </c>
      <c r="K37" s="123">
        <f t="shared" si="17"/>
        <v>409.35</v>
      </c>
      <c r="L37" s="148"/>
      <c r="M37" s="92" t="s">
        <v>127</v>
      </c>
      <c r="N37" s="92" t="s">
        <v>1711</v>
      </c>
      <c r="O37" s="93">
        <v>0</v>
      </c>
      <c r="P37" s="86" t="s">
        <v>129</v>
      </c>
      <c r="Q37" s="82">
        <f t="shared" si="2"/>
        <v>2</v>
      </c>
      <c r="R37" s="124">
        <f t="shared" ca="1" si="3"/>
        <v>304.67</v>
      </c>
      <c r="S37" s="83">
        <v>505036</v>
      </c>
      <c r="T37" s="124">
        <f t="shared" ca="1" si="6"/>
        <v>325.99690000000004</v>
      </c>
    </row>
    <row r="38" spans="1:65" ht="20.25" customHeight="1">
      <c r="A38" s="85">
        <v>45417</v>
      </c>
      <c r="B38" s="152">
        <v>505018</v>
      </c>
      <c r="C38" s="86" t="s">
        <v>6</v>
      </c>
      <c r="D38" s="87">
        <v>4892210183637</v>
      </c>
      <c r="E38" s="88" t="str">
        <f>IFERROR(VLOOKUP(D38,ProductMaster!$A:$B,2,FALSE),"")</f>
        <v>076002492</v>
      </c>
      <c r="F38" s="88" t="str">
        <f>IFERROR(VLOOKUP(D38,ProductMaster!$A:$C,3,FALSE),"")</f>
        <v>48-22-0616</v>
      </c>
      <c r="G38" s="89" t="str">
        <f>IFERROR(VLOOKUP($D38,ProductMaster!$A:$O,4,FALSE),"")</f>
        <v>ตลับเมตรรุ่น COMPACT MAGNETIC 5 เมตร/16 ฟุต</v>
      </c>
      <c r="H38" s="90">
        <v>1</v>
      </c>
      <c r="I38" s="123">
        <f>IFERROR(VLOOKUP(E38,ProductMaster!B:G,6,FALSE),0)</f>
        <v>633.64485981308417</v>
      </c>
      <c r="J38" s="123">
        <f t="shared" si="16"/>
        <v>44.36</v>
      </c>
      <c r="K38" s="123">
        <f t="shared" si="17"/>
        <v>633.64</v>
      </c>
      <c r="L38" s="148"/>
      <c r="M38" s="92" t="s">
        <v>127</v>
      </c>
      <c r="N38" s="92" t="s">
        <v>1711</v>
      </c>
      <c r="O38" s="93">
        <v>0</v>
      </c>
      <c r="P38" s="86" t="s">
        <v>129</v>
      </c>
      <c r="Q38" s="82">
        <f t="shared" si="2"/>
        <v>1</v>
      </c>
      <c r="R38" s="124">
        <f t="shared" ca="1" si="3"/>
        <v>2138.3200000000002</v>
      </c>
      <c r="S38" s="149">
        <v>505037</v>
      </c>
      <c r="T38" s="124">
        <f t="shared" ca="1" si="6"/>
        <v>2288.0024000000003</v>
      </c>
    </row>
    <row r="39" spans="1:65" s="171" customFormat="1" ht="20.25" customHeight="1">
      <c r="A39" s="158">
        <v>45417</v>
      </c>
      <c r="B39" s="159">
        <v>505019</v>
      </c>
      <c r="C39" s="160" t="s">
        <v>1876</v>
      </c>
      <c r="D39" s="161">
        <v>1318423879118</v>
      </c>
      <c r="E39" s="162" t="str">
        <f>IFERROR(VLOOKUP(D39,ProductMaster!$A:$B,2,FALSE),"")</f>
        <v>059600345</v>
      </c>
      <c r="F39" s="162" t="str">
        <f>IFERROR(VLOOKUP(D39,ProductMaster!$A:$C,3,FALSE),"")</f>
        <v>M18 BPP2U-801BLR SA</v>
      </c>
      <c r="G39" s="163" t="str">
        <f>IFERROR(VLOOKUP($D39,ProductMaster!$A:$O,4,FALSE),"")</f>
        <v>M18 Vacuum Combo</v>
      </c>
      <c r="H39" s="164">
        <v>1</v>
      </c>
      <c r="I39" s="165">
        <f>IFERROR(VLOOKUP(E39,ProductMaster!B:G,6,FALSE),0)</f>
        <v>13914.018691588784</v>
      </c>
      <c r="J39" s="165">
        <f t="shared" si="16"/>
        <v>973.98</v>
      </c>
      <c r="K39" s="165">
        <f t="shared" si="17"/>
        <v>13914.02</v>
      </c>
      <c r="L39" s="166"/>
      <c r="M39" s="167" t="s">
        <v>1717</v>
      </c>
      <c r="N39" s="167" t="s">
        <v>1711</v>
      </c>
      <c r="O39" s="168">
        <v>0</v>
      </c>
      <c r="P39" s="160" t="s">
        <v>129</v>
      </c>
      <c r="Q39" s="169">
        <f t="shared" si="2"/>
        <v>1</v>
      </c>
      <c r="R39" s="183">
        <f t="shared" ca="1" si="3"/>
        <v>418.69</v>
      </c>
      <c r="S39" s="169">
        <v>505038</v>
      </c>
      <c r="T39" s="183">
        <f t="shared" ca="1" si="6"/>
        <v>447.99830000000003</v>
      </c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 spans="1:65" s="171" customFormat="1" ht="20.25" customHeight="1">
      <c r="A40" s="158">
        <v>45417</v>
      </c>
      <c r="B40" s="159">
        <v>505019</v>
      </c>
      <c r="C40" s="160" t="s">
        <v>1876</v>
      </c>
      <c r="D40" s="161">
        <v>4892210183927</v>
      </c>
      <c r="E40" s="162" t="str">
        <f>IFERROR(VLOOKUP(D40,ProductMaster!$A:$B,2,FALSE),"")</f>
        <v>018350011</v>
      </c>
      <c r="F40" s="162" t="str">
        <f>IFERROR(VLOOKUP(D40,ProductMaster!$A:$C,3,FALSE),"")</f>
        <v>M18 FOPH-0 ASIA</v>
      </c>
      <c r="G40" s="163" t="str">
        <f>IFERROR(VLOOKUP($D40,ProductMaster!$A:$O,4,FALSE),"")</f>
        <v>เครื่องมืองานสวนอเนกประสงค์ไร้สาย 18 โวลต์ ระบบ QUIK-LOK (เครื่องเปล่า)</v>
      </c>
      <c r="H40" s="164">
        <v>1</v>
      </c>
      <c r="I40" s="165">
        <f>IFERROR(VLOOKUP(E40,ProductMaster!B:G,6,FALSE),0)</f>
        <v>7371.9626168224295</v>
      </c>
      <c r="J40" s="165">
        <f t="shared" si="16"/>
        <v>516.04</v>
      </c>
      <c r="K40" s="165">
        <f t="shared" si="17"/>
        <v>7371.96</v>
      </c>
      <c r="L40" s="166"/>
      <c r="M40" s="167" t="s">
        <v>1717</v>
      </c>
      <c r="N40" s="167" t="s">
        <v>1711</v>
      </c>
      <c r="O40" s="168">
        <v>0</v>
      </c>
      <c r="P40" s="160" t="s">
        <v>129</v>
      </c>
      <c r="Q40" s="169">
        <f t="shared" si="2"/>
        <v>2</v>
      </c>
      <c r="R40" s="183">
        <f t="shared" ca="1" si="3"/>
        <v>9809.34</v>
      </c>
      <c r="S40" s="199">
        <v>505039</v>
      </c>
      <c r="T40" s="183">
        <f t="shared" ca="1" si="6"/>
        <v>10495.9938</v>
      </c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 spans="1:65" s="171" customFormat="1" ht="20.25" customHeight="1">
      <c r="A41" s="158">
        <v>45417</v>
      </c>
      <c r="B41" s="159">
        <v>505019</v>
      </c>
      <c r="C41" s="160" t="s">
        <v>1876</v>
      </c>
      <c r="D41" s="161">
        <v>4892210183897</v>
      </c>
      <c r="E41" s="162" t="str">
        <f>IFERROR(VLOOKUP(D41,ProductMaster!$A:$B,2,FALSE),"")</f>
        <v>018376004</v>
      </c>
      <c r="F41" s="162" t="str">
        <f>IFERROR(VLOOKUP(D41,ProductMaster!$A:$C,3,FALSE),"")</f>
        <v>M18 FOPH-HTA ASIA</v>
      </c>
      <c r="G41" s="163" t="str">
        <f>IFERROR(VLOOKUP($D41,ProductMaster!$A:$O,4,FALSE),"")</f>
        <v>หัวต่อตัดแต่งพุ่ม</v>
      </c>
      <c r="H41" s="164">
        <v>1</v>
      </c>
      <c r="I41" s="165">
        <f>IFERROR(VLOOKUP(E41,ProductMaster!B:G,6,FALSE),0)</f>
        <v>5876.6355140186915</v>
      </c>
      <c r="J41" s="165">
        <f t="shared" si="16"/>
        <v>411.36</v>
      </c>
      <c r="K41" s="165">
        <f t="shared" si="17"/>
        <v>5876.64</v>
      </c>
      <c r="L41" s="166"/>
      <c r="M41" s="167" t="s">
        <v>1717</v>
      </c>
      <c r="N41" s="167" t="s">
        <v>1711</v>
      </c>
      <c r="O41" s="168">
        <v>0</v>
      </c>
      <c r="P41" s="160" t="s">
        <v>129</v>
      </c>
      <c r="Q41" s="169">
        <f t="shared" si="2"/>
        <v>3</v>
      </c>
      <c r="R41" s="183">
        <f t="shared" ca="1" si="3"/>
        <v>642.99</v>
      </c>
      <c r="S41" s="169">
        <v>505040</v>
      </c>
      <c r="T41" s="183">
        <f t="shared" ca="1" si="6"/>
        <v>687.99930000000006</v>
      </c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 spans="1:65" s="171" customFormat="1" ht="20.25" customHeight="1">
      <c r="A42" s="158">
        <v>45417</v>
      </c>
      <c r="B42" s="159">
        <v>505019</v>
      </c>
      <c r="C42" s="160" t="s">
        <v>1876</v>
      </c>
      <c r="D42" s="161">
        <v>4892210211262</v>
      </c>
      <c r="E42" s="162" t="str">
        <f>IFERROR(VLOOKUP(D42,ProductMaster!$A:$B,2,FALSE),"")</f>
        <v>018331015</v>
      </c>
      <c r="F42" s="162" t="str">
        <f>IFERROR(VLOOKUP(D42,ProductMaster!$A:$C,3,FALSE),"")</f>
        <v>L4 FFL-301 ASIA</v>
      </c>
      <c r="G42" s="163" t="str">
        <f>IFERROR(VLOOKUP($D42,ProductMaster!$A:$O,4,FALSE),"")</f>
        <v>ไฟส่องทำงาน แบบบานพับ</v>
      </c>
      <c r="H42" s="164">
        <v>1</v>
      </c>
      <c r="I42" s="165">
        <f>IFERROR(VLOOKUP(E42,ProductMaster!B:G,6,FALSE),0)</f>
        <v>2699.0654205607475</v>
      </c>
      <c r="J42" s="165">
        <f t="shared" si="16"/>
        <v>188.93</v>
      </c>
      <c r="K42" s="165">
        <f t="shared" si="17"/>
        <v>2699.07</v>
      </c>
      <c r="L42" s="166"/>
      <c r="M42" s="167" t="s">
        <v>1717</v>
      </c>
      <c r="N42" s="167" t="s">
        <v>1711</v>
      </c>
      <c r="O42" s="168">
        <v>0</v>
      </c>
      <c r="P42" s="160" t="s">
        <v>129</v>
      </c>
      <c r="Q42" s="169">
        <f t="shared" si="2"/>
        <v>4</v>
      </c>
      <c r="R42" s="183">
        <f t="shared" ca="1" si="3"/>
        <v>69181.3</v>
      </c>
      <c r="S42" s="199">
        <v>505041</v>
      </c>
      <c r="T42" s="183">
        <f t="shared" ca="1" si="6"/>
        <v>74023.991000000009</v>
      </c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65" s="171" customFormat="1" ht="20.25" customHeight="1">
      <c r="A43" s="158">
        <v>45417</v>
      </c>
      <c r="B43" s="159">
        <v>505019</v>
      </c>
      <c r="C43" s="160" t="s">
        <v>1876</v>
      </c>
      <c r="D43" s="161" t="s">
        <v>1675</v>
      </c>
      <c r="E43" s="162" t="str">
        <f>IFERROR(VLOOKUP(D43,ProductMaster!$A:$B,2,FALSE),"")</f>
        <v>001998238-(BF)</v>
      </c>
      <c r="F43" s="162" t="str">
        <f>IFERROR(VLOOKUP(D43,ProductMaster!$A:$C,3,FALSE),"")</f>
        <v>M18B5ASIA-(BF)</v>
      </c>
      <c r="G43" s="163" t="str">
        <f>IFERROR(VLOOKUP($D43,ProductMaster!$A:$O,4,FALSE),"")</f>
        <v>แบตเตอรี่ 18 โวลต์ 5.0 แอมป์อาว</v>
      </c>
      <c r="H43" s="164">
        <v>1</v>
      </c>
      <c r="I43" s="165">
        <f>IFERROR(VLOOKUP(E43,ProductMaster!B:G,6,FALSE),0)</f>
        <v>1859.8130841121495</v>
      </c>
      <c r="J43" s="165">
        <f t="shared" si="16"/>
        <v>130.19</v>
      </c>
      <c r="K43" s="165">
        <f t="shared" si="17"/>
        <v>1859.81</v>
      </c>
      <c r="L43" s="166"/>
      <c r="M43" s="167" t="s">
        <v>1717</v>
      </c>
      <c r="N43" s="167" t="s">
        <v>1711</v>
      </c>
      <c r="O43" s="168">
        <v>0</v>
      </c>
      <c r="P43" s="160" t="s">
        <v>129</v>
      </c>
      <c r="Q43" s="169">
        <f t="shared" si="2"/>
        <v>5</v>
      </c>
      <c r="R43" s="183">
        <f t="shared" ca="1" si="3"/>
        <v>7151.41</v>
      </c>
      <c r="S43" s="169">
        <v>505042</v>
      </c>
      <c r="T43" s="183">
        <f t="shared" ca="1" si="6"/>
        <v>7652.0087000000003</v>
      </c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171" customFormat="1" ht="20.25" customHeight="1">
      <c r="A44" s="158">
        <v>45417</v>
      </c>
      <c r="B44" s="159">
        <v>505019</v>
      </c>
      <c r="C44" s="160" t="s">
        <v>1876</v>
      </c>
      <c r="D44" s="161">
        <v>4892210233608</v>
      </c>
      <c r="E44" s="162" t="str">
        <f>IFERROR(VLOOKUP(D44,ProductMaster!$A:$B,2,FALSE),"")</f>
        <v>018689005</v>
      </c>
      <c r="F44" s="162" t="str">
        <f>IFERROR(VLOOKUP(D44,ProductMaster!$A:$C,3,FALSE),"")</f>
        <v>M18 FVP50-0 ASIA</v>
      </c>
      <c r="G44" s="163" t="str">
        <f>IFERROR(VLOOKUP($D44,ProductMaster!$A:$O,4,FALSE),"")</f>
        <v>M18 ปั้มสูญญากาศ</v>
      </c>
      <c r="H44" s="164">
        <v>1</v>
      </c>
      <c r="I44" s="165">
        <f>IFERROR(VLOOKUP(E44,ProductMaster!B:G,6,FALSE),0)</f>
        <v>17652.336448598129</v>
      </c>
      <c r="J44" s="165">
        <f t="shared" si="16"/>
        <v>1235.6600000000001</v>
      </c>
      <c r="K44" s="165">
        <f t="shared" si="17"/>
        <v>17652.34</v>
      </c>
      <c r="L44" s="166"/>
      <c r="M44" s="167" t="s">
        <v>1717</v>
      </c>
      <c r="N44" s="167" t="s">
        <v>1711</v>
      </c>
      <c r="O44" s="168">
        <v>0</v>
      </c>
      <c r="P44" s="160" t="s">
        <v>129</v>
      </c>
      <c r="Q44" s="169">
        <f t="shared" si="2"/>
        <v>6</v>
      </c>
      <c r="R44" s="183">
        <f t="shared" ca="1" si="3"/>
        <v>1585.04</v>
      </c>
      <c r="S44" s="199">
        <v>505043</v>
      </c>
      <c r="T44" s="183">
        <f t="shared" ca="1" si="6"/>
        <v>1695.9928</v>
      </c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171" customFormat="1" ht="20.25" customHeight="1">
      <c r="A45" s="158">
        <v>45417</v>
      </c>
      <c r="B45" s="159">
        <v>505019</v>
      </c>
      <c r="C45" s="160" t="s">
        <v>1876</v>
      </c>
      <c r="D45" s="161" t="s">
        <v>1687</v>
      </c>
      <c r="E45" s="162" t="str">
        <f>IFERROR(VLOOKUP(D45,ProductMaster!$A:$B,2,FALSE),"")</f>
        <v>001998237DG9-(BF)</v>
      </c>
      <c r="F45" s="162" t="str">
        <f>IFERROR(VLOOKUP(D45,ProductMaster!$A:$C,3,FALSE),"")</f>
        <v>M18HB12ASIA-(BF)</v>
      </c>
      <c r="G45" s="163" t="str">
        <f>IFERROR(VLOOKUP($D45,ProductMaster!$A:$O,4,FALSE),"")</f>
        <v>แบตเตอรี่ 18 โวลต์ 12.0 แอมป์อาว HIGH OUTPUT</v>
      </c>
      <c r="H45" s="164">
        <v>1</v>
      </c>
      <c r="I45" s="165">
        <f>IFERROR(VLOOKUP(E45,ProductMaster!B:G,6,FALSE),0)</f>
        <v>5224.2990654205605</v>
      </c>
      <c r="J45" s="165">
        <f t="shared" si="16"/>
        <v>365.7</v>
      </c>
      <c r="K45" s="165">
        <f t="shared" si="17"/>
        <v>5224.3</v>
      </c>
      <c r="L45" s="166"/>
      <c r="M45" s="167" t="s">
        <v>1717</v>
      </c>
      <c r="N45" s="167" t="s">
        <v>1711</v>
      </c>
      <c r="O45" s="168">
        <v>0</v>
      </c>
      <c r="P45" s="160" t="s">
        <v>129</v>
      </c>
      <c r="Q45" s="169">
        <f t="shared" si="2"/>
        <v>7</v>
      </c>
      <c r="R45" s="183">
        <f t="shared" ca="1" si="3"/>
        <v>3779.44</v>
      </c>
      <c r="S45" s="169">
        <v>505044</v>
      </c>
      <c r="T45" s="183">
        <f t="shared" ca="1" si="6"/>
        <v>4044.0008000000003</v>
      </c>
      <c r="U45" s="169"/>
      <c r="V45" s="200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171" customFormat="1" ht="20.25" customHeight="1">
      <c r="A46" s="158">
        <v>45417</v>
      </c>
      <c r="B46" s="159">
        <v>505019</v>
      </c>
      <c r="C46" s="160" t="s">
        <v>1876</v>
      </c>
      <c r="D46" s="161">
        <v>45242195039</v>
      </c>
      <c r="E46" s="162" t="str">
        <f>IFERROR(VLOOKUP(D46,ProductMaster!$A:$B,2,FALSE),"")</f>
        <v>129225591</v>
      </c>
      <c r="F46" s="162" t="str">
        <f>IFERROR(VLOOKUP(D46,ProductMaster!$A:$C,3,FALSE),"")</f>
        <v>48-32-5030</v>
      </c>
      <c r="G46" s="163" t="str">
        <f>IFERROR(VLOOKUP($D46,ProductMaster!$A:$O,4,FALSE),"")</f>
        <v xml:space="preserve">อะแดปเตอร์หัวบล็อก 1/4"  แกนหกเหลี่ยม </v>
      </c>
      <c r="H46" s="164">
        <v>2</v>
      </c>
      <c r="I46" s="165">
        <f>IFERROR(VLOOKUP(E46,ProductMaster!B:G,6,FALSE),0)</f>
        <v>82.242990654205613</v>
      </c>
      <c r="J46" s="165">
        <f t="shared" si="16"/>
        <v>5.76</v>
      </c>
      <c r="K46" s="165">
        <f t="shared" si="17"/>
        <v>164.49</v>
      </c>
      <c r="L46" s="166"/>
      <c r="M46" s="167" t="s">
        <v>1717</v>
      </c>
      <c r="N46" s="167" t="s">
        <v>1711</v>
      </c>
      <c r="O46" s="168">
        <v>0</v>
      </c>
      <c r="P46" s="160" t="s">
        <v>129</v>
      </c>
      <c r="Q46" s="169">
        <f t="shared" si="2"/>
        <v>8</v>
      </c>
      <c r="R46" s="183">
        <f t="shared" ca="1" si="3"/>
        <v>8917.75</v>
      </c>
      <c r="S46" s="199">
        <v>505045</v>
      </c>
      <c r="T46" s="183">
        <f t="shared" ca="1" si="6"/>
        <v>9541.9925000000003</v>
      </c>
      <c r="U46" s="169"/>
      <c r="V46" s="200"/>
      <c r="W46" s="200">
        <f>+V46-V45</f>
        <v>0</v>
      </c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65" s="171" customFormat="1" ht="20.25" customHeight="1">
      <c r="A47" s="158">
        <v>45417</v>
      </c>
      <c r="B47" s="159">
        <v>505019</v>
      </c>
      <c r="C47" s="160" t="s">
        <v>1876</v>
      </c>
      <c r="D47" s="161">
        <v>45242268061</v>
      </c>
      <c r="E47" s="162" t="str">
        <f>IFERROR(VLOOKUP(D47,ProductMaster!$A:$B,2,FALSE),"")</f>
        <v>129226207</v>
      </c>
      <c r="F47" s="162" t="str">
        <f>IFERROR(VLOOKUP(D47,ProductMaster!$A:$C,3,FALSE),"")</f>
        <v>48-22-1905</v>
      </c>
      <c r="G47" s="163" t="str">
        <f>IFERROR(VLOOKUP($D47,ProductMaster!$A:$O,4,FALSE),"")</f>
        <v xml:space="preserve">ใบมีดอเนกประสงค์ 5ใบ </v>
      </c>
      <c r="H47" s="164">
        <v>1</v>
      </c>
      <c r="I47" s="165">
        <f>IFERROR(VLOOKUP(E47,ProductMaster!B:G,6,FALSE),0)</f>
        <v>82.242990654205613</v>
      </c>
      <c r="J47" s="165">
        <f t="shared" si="16"/>
        <v>5.76</v>
      </c>
      <c r="K47" s="165">
        <f t="shared" si="17"/>
        <v>82.24</v>
      </c>
      <c r="L47" s="166"/>
      <c r="M47" s="167" t="s">
        <v>1717</v>
      </c>
      <c r="N47" s="167" t="s">
        <v>1711</v>
      </c>
      <c r="O47" s="168">
        <v>0</v>
      </c>
      <c r="P47" s="160" t="s">
        <v>129</v>
      </c>
      <c r="Q47" s="169">
        <f t="shared" si="2"/>
        <v>9</v>
      </c>
      <c r="R47" s="183">
        <f t="shared" ca="1" si="3"/>
        <v>353.27</v>
      </c>
      <c r="S47" s="169">
        <v>505046</v>
      </c>
      <c r="T47" s="183">
        <f t="shared" ca="1" si="6"/>
        <v>377.99889999999999</v>
      </c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171" customFormat="1" ht="20.25" customHeight="1">
      <c r="A48" s="158">
        <v>45417</v>
      </c>
      <c r="B48" s="159">
        <v>505019</v>
      </c>
      <c r="C48" s="160" t="s">
        <v>1876</v>
      </c>
      <c r="D48" s="161">
        <v>45242509171</v>
      </c>
      <c r="E48" s="162" t="str">
        <f>IFERROR(VLOOKUP(D48,ProductMaster!$A:$B,2,FALSE),"")</f>
        <v>006067501</v>
      </c>
      <c r="F48" s="162" t="str">
        <f>IFERROR(VLOOKUP(D48,ProductMaster!$A:$C,3,FALSE),"")</f>
        <v>48-22-8901</v>
      </c>
      <c r="G48" s="163" t="str">
        <f>IFERROR(VLOOKUP($D48,ProductMaster!$A:$O,4,FALSE),"")</f>
        <v xml:space="preserve">ถุงมือกันบาด Cut 1 Dipped Gloves - M </v>
      </c>
      <c r="H48" s="164">
        <v>32</v>
      </c>
      <c r="I48" s="165">
        <f>IFERROR(VLOOKUP(E48,ProductMaster!B:G,6,FALSE),0)</f>
        <v>157.00934579439252</v>
      </c>
      <c r="J48" s="165">
        <f t="shared" si="16"/>
        <v>10.99</v>
      </c>
      <c r="K48" s="165">
        <f t="shared" si="17"/>
        <v>5024.3</v>
      </c>
      <c r="L48" s="166"/>
      <c r="M48" s="167" t="s">
        <v>1717</v>
      </c>
      <c r="N48" s="167" t="s">
        <v>1711</v>
      </c>
      <c r="O48" s="168">
        <v>0</v>
      </c>
      <c r="P48" s="160" t="s">
        <v>129</v>
      </c>
      <c r="Q48" s="169">
        <f t="shared" si="2"/>
        <v>10</v>
      </c>
      <c r="R48" s="183">
        <f t="shared" ca="1" si="3"/>
        <v>474.77</v>
      </c>
      <c r="S48" s="199">
        <v>505047</v>
      </c>
      <c r="T48" s="183">
        <f t="shared" ca="1" si="6"/>
        <v>508.00389999999999</v>
      </c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65" s="171" customFormat="1" ht="20.25" customHeight="1">
      <c r="A49" s="158">
        <v>45417</v>
      </c>
      <c r="B49" s="159">
        <v>505019</v>
      </c>
      <c r="C49" s="160" t="s">
        <v>1876</v>
      </c>
      <c r="D49" s="161">
        <v>45242325276</v>
      </c>
      <c r="E49" s="162" t="str">
        <f>IFERROR(VLOOKUP(D49,ProductMaster!$A:$B,2,FALSE),"")</f>
        <v>006033705</v>
      </c>
      <c r="F49" s="162" t="str">
        <f>IFERROR(VLOOKUP(D49,ProductMaster!$A:$C,3,FALSE),"")</f>
        <v>48-22-3420</v>
      </c>
      <c r="G49" s="163" t="str">
        <f>IFERROR(VLOOKUP($D49,ProductMaster!$A:$O,4,FALSE),"")</f>
        <v xml:space="preserve">คีมล็อคปากโค้ง 10"  </v>
      </c>
      <c r="H49" s="164">
        <v>1</v>
      </c>
      <c r="I49" s="165">
        <f>IFERROR(VLOOKUP(E49,ProductMaster!B:G,6,FALSE),0)</f>
        <v>493.45794392523362</v>
      </c>
      <c r="J49" s="165">
        <f t="shared" si="16"/>
        <v>34.54</v>
      </c>
      <c r="K49" s="165">
        <f t="shared" si="17"/>
        <v>493.46</v>
      </c>
      <c r="L49" s="166"/>
      <c r="M49" s="167" t="s">
        <v>1717</v>
      </c>
      <c r="N49" s="167" t="s">
        <v>1711</v>
      </c>
      <c r="O49" s="168">
        <v>0</v>
      </c>
      <c r="P49" s="160" t="s">
        <v>129</v>
      </c>
      <c r="Q49" s="169">
        <f t="shared" si="2"/>
        <v>11</v>
      </c>
      <c r="R49" s="183">
        <f t="shared" ca="1" si="3"/>
        <v>27842.989999999998</v>
      </c>
      <c r="S49" s="169">
        <v>505048</v>
      </c>
      <c r="T49" s="183">
        <f t="shared" ca="1" si="6"/>
        <v>29791.999299999999</v>
      </c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65" s="171" customFormat="1" ht="20.25" customHeight="1">
      <c r="A50" s="158">
        <v>45417</v>
      </c>
      <c r="B50" s="159">
        <v>505019</v>
      </c>
      <c r="C50" s="160" t="s">
        <v>1876</v>
      </c>
      <c r="D50" s="161" t="s">
        <v>1925</v>
      </c>
      <c r="E50" s="162" t="str">
        <f>IFERROR(VLOOKUP(D50,ProductMaster!$A:$B,2,FALSE),"")</f>
        <v>48-32-5034</v>
      </c>
      <c r="F50" s="162" t="str">
        <f>IFERROR(VLOOKUP(D50,ProductMaster!$A:$C,3,FALSE),"")</f>
        <v>48-32-5034</v>
      </c>
      <c r="G50" s="163" t="str">
        <f>IFERROR(VLOOKUP($D50,ProductMaster!$A:$O,4,FALSE),"")</f>
        <v>Adaptor หัวบล๊อค 1/2"</v>
      </c>
      <c r="H50" s="164">
        <v>2</v>
      </c>
      <c r="I50" s="165">
        <f>IFERROR(VLOOKUP(E50,ProductMaster!B:G,6,FALSE),0)</f>
        <v>100.93457943925233</v>
      </c>
      <c r="J50" s="165">
        <f t="shared" ref="J50" si="18">ROUND(SUM(I50*7%),2)</f>
        <v>7.07</v>
      </c>
      <c r="K50" s="165">
        <f t="shared" ref="K50" si="19">ROUND(SUM(H50*I50),2)</f>
        <v>201.87</v>
      </c>
      <c r="L50" s="166">
        <v>2500</v>
      </c>
      <c r="M50" s="167" t="s">
        <v>1717</v>
      </c>
      <c r="N50" s="167" t="s">
        <v>1711</v>
      </c>
      <c r="O50" s="168">
        <v>0</v>
      </c>
      <c r="P50" s="160" t="s">
        <v>129</v>
      </c>
      <c r="Q50" s="169">
        <f t="shared" si="2"/>
        <v>12</v>
      </c>
      <c r="R50" s="183">
        <f t="shared" ca="1" si="3"/>
        <v>2865.42</v>
      </c>
      <c r="S50" s="199">
        <v>505049</v>
      </c>
      <c r="T50" s="183">
        <f t="shared" ca="1" si="6"/>
        <v>3065.9994000000002</v>
      </c>
      <c r="U50" s="170" t="s">
        <v>1930</v>
      </c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65" s="171" customFormat="1" ht="20.25" customHeight="1">
      <c r="A51" s="158">
        <v>45417</v>
      </c>
      <c r="B51" s="159">
        <v>505020</v>
      </c>
      <c r="C51" s="160" t="s">
        <v>1880</v>
      </c>
      <c r="D51" s="161">
        <v>45242251209</v>
      </c>
      <c r="E51" s="162" t="str">
        <f>IFERROR(VLOOKUP(D51,ProductMaster!$A:$B,2,FALSE),"")</f>
        <v>006050802</v>
      </c>
      <c r="F51" s="162" t="str">
        <f>IFERROR(VLOOKUP(D51,ProductMaster!$A:$C,3,FALSE),"")</f>
        <v>48-22-3079</v>
      </c>
      <c r="G51" s="163" t="str">
        <f>IFERROR(VLOOKUP($D51,ProductMaster!$A:$O,4,FALSE),"")</f>
        <v>คีมอเนกประสงค์ 6 IN1</v>
      </c>
      <c r="H51" s="164">
        <v>1</v>
      </c>
      <c r="I51" s="165">
        <f>IFERROR(VLOOKUP(E51,ProductMaster!B:G,6,FALSE),0)</f>
        <v>1044.8598130841121</v>
      </c>
      <c r="J51" s="165">
        <f t="shared" si="16"/>
        <v>73.14</v>
      </c>
      <c r="K51" s="165">
        <f t="shared" si="17"/>
        <v>1044.8599999999999</v>
      </c>
      <c r="L51" s="166"/>
      <c r="M51" s="167" t="s">
        <v>127</v>
      </c>
      <c r="N51" s="167" t="s">
        <v>1711</v>
      </c>
      <c r="O51" s="168">
        <v>0</v>
      </c>
      <c r="P51" s="160" t="s">
        <v>1709</v>
      </c>
      <c r="Q51" s="169">
        <f t="shared" si="2"/>
        <v>1</v>
      </c>
      <c r="R51" s="183">
        <f t="shared" ca="1" si="3"/>
        <v>31555.140000000003</v>
      </c>
      <c r="S51" s="169">
        <v>505050</v>
      </c>
      <c r="T51" s="183">
        <f t="shared" ca="1" si="6"/>
        <v>33763.999800000005</v>
      </c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65" s="171" customFormat="1" ht="20.25" customHeight="1">
      <c r="A52" s="158">
        <v>45417</v>
      </c>
      <c r="B52" s="159">
        <v>505020</v>
      </c>
      <c r="C52" s="160" t="s">
        <v>1880</v>
      </c>
      <c r="D52" s="161">
        <v>4058546348144</v>
      </c>
      <c r="E52" s="162" t="str">
        <f>IFERROR(VLOOKUP(D52,ProductMaster!$A:$B,2,FALSE),"")</f>
        <v>006126701</v>
      </c>
      <c r="F52" s="162">
        <f>IFERROR(VLOOKUP(D52,ProductMaster!$A:$C,3,FALSE),"")</f>
        <v>4932478621</v>
      </c>
      <c r="G52" s="163" t="str">
        <f>IFERROR(VLOOKUP($D52,ProductMaster!$A:$O,4,FALSE),"")</f>
        <v>ชุดประแจหกเหลี่ยม 9 ชิ้น</v>
      </c>
      <c r="H52" s="164">
        <v>1</v>
      </c>
      <c r="I52" s="165">
        <f>IFERROR(VLOOKUP(E52,ProductMaster!B:G,6,FALSE),0)</f>
        <v>633.64485981308417</v>
      </c>
      <c r="J52" s="165">
        <f t="shared" si="16"/>
        <v>44.36</v>
      </c>
      <c r="K52" s="165">
        <f t="shared" si="17"/>
        <v>633.64</v>
      </c>
      <c r="L52" s="166"/>
      <c r="M52" s="167" t="s">
        <v>127</v>
      </c>
      <c r="N52" s="167" t="s">
        <v>1711</v>
      </c>
      <c r="O52" s="168">
        <v>0</v>
      </c>
      <c r="P52" s="160" t="s">
        <v>1709</v>
      </c>
      <c r="Q52" s="169">
        <f t="shared" si="2"/>
        <v>2</v>
      </c>
      <c r="R52" s="183">
        <f t="shared" ca="1" si="3"/>
        <v>977.57</v>
      </c>
      <c r="S52" s="199">
        <v>505051</v>
      </c>
      <c r="T52" s="183">
        <f t="shared" ca="1" si="6"/>
        <v>1045.9999</v>
      </c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65" s="171" customFormat="1" ht="20.25" customHeight="1">
      <c r="A53" s="158">
        <v>45417</v>
      </c>
      <c r="B53" s="159">
        <v>505020</v>
      </c>
      <c r="C53" s="160" t="s">
        <v>1880</v>
      </c>
      <c r="D53" s="161">
        <v>45242559541</v>
      </c>
      <c r="E53" s="162" t="str">
        <f>IFERROR(VLOOKUP(D53,ProductMaster!$A:$B,2,FALSE),"")</f>
        <v>129305677</v>
      </c>
      <c r="F53" s="162" t="str">
        <f>IFERROR(VLOOKUP(D53,ProductMaster!$A:$C,3,FALSE),"")</f>
        <v>48-22-8442</v>
      </c>
      <c r="G53" s="163" t="str">
        <f>IFERROR(VLOOKUP($D53,ProductMaster!$A:$O,4,FALSE),"")</f>
        <v>PACKOUT 2 DRAWER TOOL BOX</v>
      </c>
      <c r="H53" s="164">
        <v>1</v>
      </c>
      <c r="I53" s="165">
        <f>IFERROR(VLOOKUP(E53,ProductMaster!B:G,6,FALSE),0)</f>
        <v>6998.130841121495</v>
      </c>
      <c r="J53" s="165">
        <f t="shared" si="16"/>
        <v>489.87</v>
      </c>
      <c r="K53" s="165">
        <f t="shared" si="17"/>
        <v>6998.13</v>
      </c>
      <c r="L53" s="166"/>
      <c r="M53" s="167" t="s">
        <v>127</v>
      </c>
      <c r="N53" s="167" t="s">
        <v>1711</v>
      </c>
      <c r="O53" s="168">
        <v>0</v>
      </c>
      <c r="P53" s="160" t="s">
        <v>1709</v>
      </c>
      <c r="Q53" s="169">
        <f t="shared" si="2"/>
        <v>3</v>
      </c>
      <c r="R53" s="183">
        <f t="shared" ca="1" si="3"/>
        <v>287.85000000000002</v>
      </c>
      <c r="S53" s="169">
        <v>505052</v>
      </c>
      <c r="T53" s="183">
        <f t="shared" ca="1" si="6"/>
        <v>307.99950000000007</v>
      </c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65" ht="20.25" customHeight="1">
      <c r="A54" s="85">
        <v>45417</v>
      </c>
      <c r="B54" s="152">
        <v>505021</v>
      </c>
      <c r="C54" s="86" t="s">
        <v>6</v>
      </c>
      <c r="D54" s="87">
        <v>4892210183637</v>
      </c>
      <c r="E54" s="88" t="str">
        <f>IFERROR(VLOOKUP(D54,ProductMaster!$A:$B,2,FALSE),"")</f>
        <v>076002492</v>
      </c>
      <c r="F54" s="88" t="str">
        <f>IFERROR(VLOOKUP(D54,ProductMaster!$A:$C,3,FALSE),"")</f>
        <v>48-22-0616</v>
      </c>
      <c r="G54" s="89" t="str">
        <f>IFERROR(VLOOKUP($D54,ProductMaster!$A:$O,4,FALSE),"")</f>
        <v>ตลับเมตรรุ่น COMPACT MAGNETIC 5 เมตร/16 ฟุต</v>
      </c>
      <c r="H54" s="90">
        <v>1</v>
      </c>
      <c r="I54" s="123">
        <f>IFERROR(VLOOKUP(E54,ProductMaster!B:G,6,FALSE),0)</f>
        <v>633.64485981308417</v>
      </c>
      <c r="J54" s="123">
        <f t="shared" si="16"/>
        <v>44.36</v>
      </c>
      <c r="K54" s="123">
        <f t="shared" si="17"/>
        <v>633.64</v>
      </c>
      <c r="L54" s="148"/>
      <c r="M54" s="92" t="s">
        <v>127</v>
      </c>
      <c r="N54" s="92" t="s">
        <v>1711</v>
      </c>
      <c r="O54" s="93">
        <v>0</v>
      </c>
      <c r="P54" s="86" t="s">
        <v>129</v>
      </c>
      <c r="Q54" s="82">
        <f t="shared" si="2"/>
        <v>1</v>
      </c>
      <c r="R54" s="124">
        <f t="shared" ca="1" si="3"/>
        <v>2691.59</v>
      </c>
      <c r="S54" s="149">
        <v>505053</v>
      </c>
      <c r="T54" s="124">
        <f t="shared" ca="1" si="6"/>
        <v>2880.0013000000004</v>
      </c>
    </row>
    <row r="55" spans="1:65" ht="20.25" customHeight="1">
      <c r="A55" s="85">
        <v>45417</v>
      </c>
      <c r="B55" s="152">
        <v>505022</v>
      </c>
      <c r="C55" s="86" t="s">
        <v>6</v>
      </c>
      <c r="D55" s="87">
        <v>4892210183637</v>
      </c>
      <c r="E55" s="88" t="str">
        <f>IFERROR(VLOOKUP(D55,ProductMaster!$A:$B,2,FALSE),"")</f>
        <v>076002492</v>
      </c>
      <c r="F55" s="88" t="str">
        <f>IFERROR(VLOOKUP(D55,ProductMaster!$A:$C,3,FALSE),"")</f>
        <v>48-22-0616</v>
      </c>
      <c r="G55" s="89" t="str">
        <f>IFERROR(VLOOKUP($D55,ProductMaster!$A:$O,4,FALSE),"")</f>
        <v>ตลับเมตรรุ่น COMPACT MAGNETIC 5 เมตร/16 ฟุต</v>
      </c>
      <c r="H55" s="90">
        <v>1</v>
      </c>
      <c r="I55" s="123">
        <f>IFERROR(VLOOKUP(E55,ProductMaster!B:G,6,FALSE),0)</f>
        <v>633.64485981308417</v>
      </c>
      <c r="J55" s="123">
        <f t="shared" si="16"/>
        <v>44.36</v>
      </c>
      <c r="K55" s="123">
        <f t="shared" si="17"/>
        <v>633.64</v>
      </c>
      <c r="L55" s="91"/>
      <c r="M55" s="92" t="s">
        <v>127</v>
      </c>
      <c r="N55" s="92" t="s">
        <v>1711</v>
      </c>
      <c r="O55" s="93">
        <v>0</v>
      </c>
      <c r="P55" s="86" t="s">
        <v>129</v>
      </c>
      <c r="Q55" s="82">
        <f t="shared" si="2"/>
        <v>1</v>
      </c>
      <c r="R55" s="124">
        <f t="shared" ca="1" si="3"/>
        <v>1426.17</v>
      </c>
      <c r="S55" s="83">
        <v>505054</v>
      </c>
      <c r="T55" s="124">
        <f t="shared" ca="1" si="6"/>
        <v>1526.0019000000002</v>
      </c>
    </row>
    <row r="56" spans="1:65" ht="20.25" customHeight="1">
      <c r="A56" s="85">
        <v>45417</v>
      </c>
      <c r="B56" s="152">
        <v>505023</v>
      </c>
      <c r="C56" s="86" t="s">
        <v>6</v>
      </c>
      <c r="D56" s="87">
        <v>45242568420</v>
      </c>
      <c r="E56" s="88" t="str">
        <f>IFERROR(VLOOKUP(D56,ProductMaster!$A:$B,2,FALSE),"")</f>
        <v>006913001</v>
      </c>
      <c r="F56" s="88" t="str">
        <f>IFERROR(VLOOKUP(D56,ProductMaster!$A:$C,3,FALSE),"")</f>
        <v>48-35-1411</v>
      </c>
      <c r="G56" s="89" t="str">
        <f>IFERROR(VLOOKUP($D56,ProductMaster!$A:$O,4,FALSE),"")</f>
        <v>ขาตั้งเลเซอร์ 180 เซนติเมตร</v>
      </c>
      <c r="H56" s="90">
        <v>1</v>
      </c>
      <c r="I56" s="123">
        <f>IFERROR(VLOOKUP(E56,ProductMaster!B:G,6,FALSE),0)</f>
        <v>2390.6542056074768</v>
      </c>
      <c r="J56" s="123">
        <f t="shared" si="16"/>
        <v>167.35</v>
      </c>
      <c r="K56" s="123">
        <f t="shared" si="17"/>
        <v>2390.65</v>
      </c>
      <c r="L56" s="91"/>
      <c r="M56" s="92" t="s">
        <v>127</v>
      </c>
      <c r="N56" s="92" t="s">
        <v>1711</v>
      </c>
      <c r="O56" s="93">
        <v>0</v>
      </c>
      <c r="P56" s="86" t="s">
        <v>129</v>
      </c>
      <c r="Q56" s="82">
        <f t="shared" si="2"/>
        <v>1</v>
      </c>
      <c r="R56" s="124">
        <f t="shared" ca="1" si="3"/>
        <v>287.85000000000002</v>
      </c>
      <c r="S56" s="149">
        <v>505055</v>
      </c>
      <c r="T56" s="124">
        <f t="shared" ca="1" si="6"/>
        <v>307.99950000000007</v>
      </c>
    </row>
    <row r="57" spans="1:65" ht="20.25" customHeight="1">
      <c r="A57" s="85">
        <v>45417</v>
      </c>
      <c r="B57" s="152">
        <v>505024</v>
      </c>
      <c r="C57" s="86" t="s">
        <v>1877</v>
      </c>
      <c r="D57" s="87">
        <v>45242251209</v>
      </c>
      <c r="E57" s="88" t="str">
        <f>IFERROR(VLOOKUP(D57,ProductMaster!$A:$B,2,FALSE),"")</f>
        <v>006050802</v>
      </c>
      <c r="F57" s="88" t="str">
        <f>IFERROR(VLOOKUP(D57,ProductMaster!$A:$C,3,FALSE),"")</f>
        <v>48-22-3079</v>
      </c>
      <c r="G57" s="89" t="str">
        <f>IFERROR(VLOOKUP($D57,ProductMaster!$A:$O,4,FALSE),"")</f>
        <v>คีมอเนกประสงค์ 6 IN1</v>
      </c>
      <c r="H57" s="90">
        <v>1</v>
      </c>
      <c r="I57" s="123">
        <f>IFERROR(VLOOKUP(E57,ProductMaster!B:G,6,FALSE),0)</f>
        <v>1044.8598130841121</v>
      </c>
      <c r="J57" s="123">
        <f t="shared" si="16"/>
        <v>73.14</v>
      </c>
      <c r="K57" s="123">
        <f t="shared" si="17"/>
        <v>1044.8599999999999</v>
      </c>
      <c r="L57" s="91"/>
      <c r="M57" s="92" t="s">
        <v>1717</v>
      </c>
      <c r="N57" s="92" t="s">
        <v>1711</v>
      </c>
      <c r="O57" s="93">
        <v>0</v>
      </c>
      <c r="P57" s="86" t="s">
        <v>1709</v>
      </c>
      <c r="Q57" s="82">
        <f t="shared" si="2"/>
        <v>1</v>
      </c>
      <c r="R57" s="124">
        <f t="shared" ca="1" si="3"/>
        <v>1519.63</v>
      </c>
      <c r="S57" s="83">
        <v>505056</v>
      </c>
      <c r="T57" s="124">
        <f t="shared" ca="1" si="6"/>
        <v>1626.0041000000001</v>
      </c>
    </row>
    <row r="58" spans="1:65" ht="20.25" customHeight="1">
      <c r="A58" s="85">
        <v>45417</v>
      </c>
      <c r="B58" s="152">
        <v>505024</v>
      </c>
      <c r="C58" s="86" t="s">
        <v>1877</v>
      </c>
      <c r="D58" s="87">
        <v>45242268061</v>
      </c>
      <c r="E58" s="88" t="str">
        <f>IFERROR(VLOOKUP(D58,ProductMaster!$A:$B,2,FALSE),"")</f>
        <v>129226207</v>
      </c>
      <c r="F58" s="88" t="str">
        <f>IFERROR(VLOOKUP(D58,ProductMaster!$A:$C,3,FALSE),"")</f>
        <v>48-22-1905</v>
      </c>
      <c r="G58" s="89" t="str">
        <f>IFERROR(VLOOKUP($D58,ProductMaster!$A:$O,4,FALSE),"")</f>
        <v xml:space="preserve">ใบมีดอเนกประสงค์ 5ใบ </v>
      </c>
      <c r="H58" s="90">
        <v>1</v>
      </c>
      <c r="I58" s="123">
        <f>IFERROR(VLOOKUP(E58,ProductMaster!B:G,6,FALSE),0)</f>
        <v>82.242990654205613</v>
      </c>
      <c r="J58" s="123">
        <f t="shared" si="16"/>
        <v>5.76</v>
      </c>
      <c r="K58" s="123">
        <f t="shared" si="17"/>
        <v>82.24</v>
      </c>
      <c r="L58" s="148"/>
      <c r="M58" s="92" t="s">
        <v>1717</v>
      </c>
      <c r="N58" s="92" t="s">
        <v>1711</v>
      </c>
      <c r="O58" s="93">
        <v>0</v>
      </c>
      <c r="P58" s="86" t="s">
        <v>1709</v>
      </c>
      <c r="Q58" s="82">
        <f t="shared" si="2"/>
        <v>2</v>
      </c>
      <c r="R58" s="124">
        <f t="shared" ca="1" si="3"/>
        <v>923.36</v>
      </c>
      <c r="S58" s="149">
        <v>505057</v>
      </c>
      <c r="T58" s="124">
        <f t="shared" ca="1" si="6"/>
        <v>987.99520000000007</v>
      </c>
    </row>
    <row r="59" spans="1:65" ht="20.25" customHeight="1">
      <c r="A59" s="85">
        <v>45417</v>
      </c>
      <c r="B59" s="152">
        <v>505024</v>
      </c>
      <c r="C59" s="86" t="s">
        <v>1877</v>
      </c>
      <c r="D59" s="87">
        <v>45242509171</v>
      </c>
      <c r="E59" s="88" t="str">
        <f>IFERROR(VLOOKUP(D59,ProductMaster!$A:$B,2,FALSE),"")</f>
        <v>006067501</v>
      </c>
      <c r="F59" s="88" t="str">
        <f>IFERROR(VLOOKUP(D59,ProductMaster!$A:$C,3,FALSE),"")</f>
        <v>48-22-8901</v>
      </c>
      <c r="G59" s="89" t="str">
        <f>IFERROR(VLOOKUP($D59,ProductMaster!$A:$O,4,FALSE),"")</f>
        <v xml:space="preserve">ถุงมือกันบาด Cut 1 Dipped Gloves - M </v>
      </c>
      <c r="H59" s="90">
        <v>1</v>
      </c>
      <c r="I59" s="123">
        <f>IFERROR(VLOOKUP(E59,ProductMaster!B:G,6,FALSE),0)</f>
        <v>157.00934579439252</v>
      </c>
      <c r="J59" s="123">
        <f t="shared" si="16"/>
        <v>10.99</v>
      </c>
      <c r="K59" s="123">
        <f t="shared" si="17"/>
        <v>157.01</v>
      </c>
      <c r="L59" s="91"/>
      <c r="M59" s="92" t="s">
        <v>1717</v>
      </c>
      <c r="N59" s="92" t="s">
        <v>1711</v>
      </c>
      <c r="O59" s="93">
        <v>0</v>
      </c>
      <c r="P59" s="86" t="s">
        <v>1709</v>
      </c>
      <c r="Q59" s="82">
        <f t="shared" si="2"/>
        <v>3</v>
      </c>
      <c r="R59" s="124">
        <f t="shared" ca="1" si="3"/>
        <v>19035.52</v>
      </c>
      <c r="S59" s="83">
        <v>505058</v>
      </c>
      <c r="T59" s="124">
        <f t="shared" ca="1" si="6"/>
        <v>20368.006400000002</v>
      </c>
    </row>
    <row r="60" spans="1:65" ht="20.25" customHeight="1">
      <c r="A60" s="85">
        <v>45417</v>
      </c>
      <c r="B60" s="152">
        <v>505024</v>
      </c>
      <c r="C60" s="86" t="s">
        <v>1877</v>
      </c>
      <c r="D60" s="87">
        <v>45242573912</v>
      </c>
      <c r="E60" s="88" t="str">
        <f>IFERROR(VLOOKUP(D60,ProductMaster!$A:$B,2,FALSE),"")</f>
        <v>006105507</v>
      </c>
      <c r="F60" s="88" t="str">
        <f>IFERROR(VLOOKUP(D60,ProductMaster!$A:$C,3,FALSE),"")</f>
        <v>48-22-1505</v>
      </c>
      <c r="G60" s="89" t="str">
        <f>IFERROR(VLOOKUP($D60,ProductMaster!$A:$O,4,FALSE),"")</f>
        <v xml:space="preserve">มีดพับอเนกประสงค์ พร้อมช่องเก็บใบมีด รุ่น FASTBACK™ 6 IN 1 </v>
      </c>
      <c r="H60" s="90">
        <v>1</v>
      </c>
      <c r="I60" s="123">
        <f>IFERROR(VLOOKUP(E60,ProductMaster!B:G,6,FALSE),0)</f>
        <v>699.06542056074761</v>
      </c>
      <c r="J60" s="123">
        <f t="shared" si="16"/>
        <v>48.93</v>
      </c>
      <c r="K60" s="123">
        <f t="shared" si="17"/>
        <v>699.07</v>
      </c>
      <c r="L60" s="91"/>
      <c r="M60" s="92" t="s">
        <v>1717</v>
      </c>
      <c r="N60" s="92" t="s">
        <v>1711</v>
      </c>
      <c r="O60" s="93">
        <v>0</v>
      </c>
      <c r="P60" s="86" t="s">
        <v>1709</v>
      </c>
      <c r="Q60" s="82">
        <f t="shared" si="2"/>
        <v>4</v>
      </c>
      <c r="R60" s="124">
        <f t="shared" ca="1" si="3"/>
        <v>568.22</v>
      </c>
      <c r="S60" s="149">
        <v>505059</v>
      </c>
      <c r="T60" s="124">
        <f t="shared" ca="1" si="6"/>
        <v>607.99540000000002</v>
      </c>
    </row>
    <row r="61" spans="1:65" ht="20.25" customHeight="1">
      <c r="A61" s="85">
        <v>45417</v>
      </c>
      <c r="B61" s="152">
        <v>505024</v>
      </c>
      <c r="C61" s="86" t="s">
        <v>1877</v>
      </c>
      <c r="D61" s="87">
        <v>45242509171</v>
      </c>
      <c r="E61" s="88" t="str">
        <f>IFERROR(VLOOKUP(D61,ProductMaster!$A:$B,2,FALSE),"")</f>
        <v>006067501</v>
      </c>
      <c r="F61" s="88" t="str">
        <f>IFERROR(VLOOKUP(D61,ProductMaster!$A:$C,3,FALSE),"")</f>
        <v>48-22-8901</v>
      </c>
      <c r="G61" s="89" t="str">
        <f>IFERROR(VLOOKUP($D61,ProductMaster!$A:$O,4,FALSE),"")</f>
        <v xml:space="preserve">ถุงมือกันบาด Cut 1 Dipped Gloves - M </v>
      </c>
      <c r="H61" s="90">
        <v>1</v>
      </c>
      <c r="I61" s="123">
        <f>IFERROR(VLOOKUP(E61,ProductMaster!B:G,6,FALSE),0)</f>
        <v>157.00934579439252</v>
      </c>
      <c r="J61" s="123">
        <f t="shared" si="16"/>
        <v>10.99</v>
      </c>
      <c r="K61" s="123">
        <f t="shared" si="17"/>
        <v>157.01</v>
      </c>
      <c r="L61" s="91"/>
      <c r="M61" s="92" t="s">
        <v>1717</v>
      </c>
      <c r="N61" s="92" t="s">
        <v>1711</v>
      </c>
      <c r="O61" s="93">
        <v>0</v>
      </c>
      <c r="P61" s="86" t="s">
        <v>1709</v>
      </c>
      <c r="Q61" s="82">
        <f t="shared" si="2"/>
        <v>5</v>
      </c>
      <c r="R61" s="124">
        <f t="shared" ca="1" si="3"/>
        <v>633.64</v>
      </c>
      <c r="S61" s="83">
        <v>505060</v>
      </c>
      <c r="T61" s="124">
        <f t="shared" ca="1" si="6"/>
        <v>677.99480000000005</v>
      </c>
    </row>
    <row r="62" spans="1:65" ht="20.25" customHeight="1">
      <c r="A62" s="85">
        <v>45417</v>
      </c>
      <c r="B62" s="152">
        <v>505024</v>
      </c>
      <c r="C62" s="86" t="s">
        <v>1877</v>
      </c>
      <c r="D62" s="87">
        <v>45242324996</v>
      </c>
      <c r="E62" s="88" t="str">
        <f>IFERROR(VLOOKUP(D62,ProductMaster!$A:$B,2,FALSE),"")</f>
        <v>006033706</v>
      </c>
      <c r="F62" s="88" t="str">
        <f>IFERROR(VLOOKUP(D62,ProductMaster!$A:$C,3,FALSE),"")</f>
        <v>48-22-3510</v>
      </c>
      <c r="G62" s="89" t="str">
        <f>IFERROR(VLOOKUP($D62,ProductMaster!$A:$O,4,FALSE),"")</f>
        <v>คีมล็อคปากตรง 10"</v>
      </c>
      <c r="H62" s="90">
        <v>1</v>
      </c>
      <c r="I62" s="123">
        <f>IFERROR(VLOOKUP(E62,ProductMaster!B:G,6,FALSE),0)</f>
        <v>586.91588785046724</v>
      </c>
      <c r="J62" s="123">
        <f t="shared" si="16"/>
        <v>41.08</v>
      </c>
      <c r="K62" s="123">
        <f t="shared" si="17"/>
        <v>586.91999999999996</v>
      </c>
      <c r="L62" s="91"/>
      <c r="M62" s="92" t="s">
        <v>1717</v>
      </c>
      <c r="N62" s="92" t="s">
        <v>1711</v>
      </c>
      <c r="O62" s="93">
        <v>0</v>
      </c>
      <c r="P62" s="86" t="s">
        <v>1709</v>
      </c>
      <c r="Q62" s="82">
        <f t="shared" si="2"/>
        <v>6</v>
      </c>
      <c r="R62" s="124">
        <f t="shared" ca="1" si="3"/>
        <v>829.91</v>
      </c>
      <c r="S62" s="149">
        <v>505061</v>
      </c>
      <c r="T62" s="124">
        <f t="shared" ca="1" si="6"/>
        <v>888.00369999999998</v>
      </c>
    </row>
    <row r="63" spans="1:65" ht="20.25" customHeight="1">
      <c r="A63" s="85">
        <v>45417</v>
      </c>
      <c r="B63" s="152">
        <v>505024</v>
      </c>
      <c r="C63" s="86" t="s">
        <v>1877</v>
      </c>
      <c r="D63" s="87">
        <v>4892210240033</v>
      </c>
      <c r="E63" s="88" t="str">
        <f>IFERROR(VLOOKUP(D63,ProductMaster!$A:$B,2,FALSE),"")</f>
        <v>059600307</v>
      </c>
      <c r="F63" s="88" t="str">
        <f>IFERROR(VLOOKUP(D63,ProductMaster!$A:$C,3,FALSE),"")</f>
        <v>M18 FPP2AC3-502LR SA</v>
      </c>
      <c r="G63" s="89" t="str">
        <f>IFERROR(VLOOKUP($D63,ProductMaster!$A:$O,4,FALSE),"")</f>
        <v>M18 FPP2AC3-502LR SA (ชุดคอมโบสำหรับช่างไฟ)</v>
      </c>
      <c r="H63" s="90">
        <v>1</v>
      </c>
      <c r="I63" s="123">
        <f>IFERROR(VLOOKUP(E63,ProductMaster!B:G,6,FALSE),0)</f>
        <v>17652.336448598129</v>
      </c>
      <c r="J63" s="123">
        <f t="shared" si="16"/>
        <v>1235.6600000000001</v>
      </c>
      <c r="K63" s="123">
        <f t="shared" si="17"/>
        <v>17652.34</v>
      </c>
      <c r="L63" s="91"/>
      <c r="M63" s="92" t="s">
        <v>1717</v>
      </c>
      <c r="N63" s="92" t="s">
        <v>1711</v>
      </c>
      <c r="O63" s="93"/>
      <c r="P63" s="86" t="s">
        <v>1709</v>
      </c>
      <c r="Q63" s="82">
        <f t="shared" si="2"/>
        <v>7</v>
      </c>
      <c r="R63" s="124">
        <f t="shared" ca="1" si="3"/>
        <v>353.27</v>
      </c>
      <c r="S63" s="149">
        <v>505062</v>
      </c>
      <c r="T63" s="124">
        <f t="shared" ca="1" si="6"/>
        <v>377.99889999999999</v>
      </c>
    </row>
    <row r="64" spans="1:65" ht="20.25" customHeight="1">
      <c r="A64" s="85">
        <v>45417</v>
      </c>
      <c r="B64" s="152">
        <v>505024</v>
      </c>
      <c r="C64" s="86" t="s">
        <v>1877</v>
      </c>
      <c r="D64" s="87" t="s">
        <v>1638</v>
      </c>
      <c r="E64" s="88" t="str">
        <f>IFERROR(VLOOKUP(D64,ProductMaster!$A:$B,2,FALSE),"")</f>
        <v>000138153-(BF)</v>
      </c>
      <c r="F64" s="88" t="str">
        <f>IFERROR(VLOOKUP(D64,ProductMaster!$A:$C,3,FALSE),"")</f>
        <v>C12CSA-(BF)</v>
      </c>
      <c r="G64" s="89" t="str">
        <f>IFERROR(VLOOKUP($D64,ProductMaster!$A:$O,4,FALSE),"")</f>
        <v>แท่นชาร์จแบตเตอรี่ 12 โวลต์</v>
      </c>
      <c r="H64" s="90">
        <v>1</v>
      </c>
      <c r="I64" s="123">
        <f>IFERROR(VLOOKUP(E64,ProductMaster!B:G,6,FALSE),0)</f>
        <v>925.23364485981313</v>
      </c>
      <c r="J64" s="123">
        <f t="shared" si="16"/>
        <v>64.77</v>
      </c>
      <c r="K64" s="123">
        <f t="shared" si="17"/>
        <v>925.23</v>
      </c>
      <c r="L64" s="91"/>
      <c r="M64" s="92" t="s">
        <v>1717</v>
      </c>
      <c r="N64" s="92" t="s">
        <v>1711</v>
      </c>
      <c r="O64" s="93">
        <v>0</v>
      </c>
      <c r="P64" s="86" t="s">
        <v>1709</v>
      </c>
      <c r="Q64" s="82">
        <f t="shared" si="2"/>
        <v>8</v>
      </c>
      <c r="R64" s="124">
        <f t="shared" ca="1" si="3"/>
        <v>444.86</v>
      </c>
      <c r="S64" s="83">
        <v>505063</v>
      </c>
      <c r="T64" s="124">
        <f t="shared" ca="1" si="6"/>
        <v>476.00020000000006</v>
      </c>
    </row>
    <row r="65" spans="1:20" ht="20.25" customHeight="1">
      <c r="A65" s="85">
        <v>45417</v>
      </c>
      <c r="B65" s="152">
        <v>505024</v>
      </c>
      <c r="C65" s="86" t="s">
        <v>1877</v>
      </c>
      <c r="D65" s="87" t="s">
        <v>1671</v>
      </c>
      <c r="E65" s="88" t="str">
        <f>IFERROR(VLOOKUP(D65,ProductMaster!$A:$B,2,FALSE),"")</f>
        <v>001997033-(BF)</v>
      </c>
      <c r="F65" s="88" t="str">
        <f>IFERROR(VLOOKUP(D65,ProductMaster!$A:$C,3,FALSE),"")</f>
        <v>M12HB5-(BF)</v>
      </c>
      <c r="G65" s="89" t="str">
        <f>IFERROR(VLOOKUP($D65,ProductMaster!$A:$O,4,FALSE),"")</f>
        <v>แบตเตอรี่ 12 โวลต์ 5.0 แอมป์อาว HIGH OUTPUT</v>
      </c>
      <c r="H65" s="90">
        <v>1</v>
      </c>
      <c r="I65" s="123">
        <f>IFERROR(VLOOKUP(E65,ProductMaster!B:G,6,FALSE),0)</f>
        <v>1485.981308411215</v>
      </c>
      <c r="J65" s="123">
        <f t="shared" si="16"/>
        <v>104.02</v>
      </c>
      <c r="K65" s="123">
        <f t="shared" si="17"/>
        <v>1485.98</v>
      </c>
      <c r="L65" s="91"/>
      <c r="M65" s="92" t="s">
        <v>1717</v>
      </c>
      <c r="N65" s="92" t="s">
        <v>1711</v>
      </c>
      <c r="O65" s="93">
        <v>0</v>
      </c>
      <c r="P65" s="86" t="s">
        <v>1709</v>
      </c>
      <c r="Q65" s="82">
        <f t="shared" si="2"/>
        <v>9</v>
      </c>
      <c r="R65" s="124">
        <f t="shared" ca="1" si="3"/>
        <v>19811.22</v>
      </c>
      <c r="S65" s="149">
        <v>505064</v>
      </c>
      <c r="T65" s="124">
        <f t="shared" ca="1" si="6"/>
        <v>21198.005400000002</v>
      </c>
    </row>
    <row r="66" spans="1:20" ht="20.25" customHeight="1">
      <c r="A66" s="85">
        <v>45417</v>
      </c>
      <c r="B66" s="152">
        <v>505024</v>
      </c>
      <c r="C66" s="86" t="s">
        <v>1877</v>
      </c>
      <c r="D66" s="87">
        <v>4892210159175</v>
      </c>
      <c r="E66" s="88" t="str">
        <f>IFERROR(VLOOKUP(D66,ProductMaster!$A:$B,2,FALSE),"")</f>
        <v>018098036</v>
      </c>
      <c r="F66" s="88" t="str">
        <f>IFERROR(VLOOKUP(D66,ProductMaster!$A:$C,3,FALSE),"")</f>
        <v>M12 CH-0C</v>
      </c>
      <c r="G66" s="89" t="str">
        <f>IFERROR(VLOOKUP($D66,ProductMaster!$A:$O,4,FALSE),"")</f>
        <v>สว่านโรตารี่ไร้สาย 12 โวลต์ ระบบ SDS+ (เครื่องเปล่า)</v>
      </c>
      <c r="H66" s="90">
        <v>1</v>
      </c>
      <c r="I66" s="123">
        <f>IFERROR(VLOOKUP(E66,ProductMaster!B:G,6,FALSE),0)</f>
        <v>6764.4859813084113</v>
      </c>
      <c r="J66" s="123">
        <f t="shared" si="16"/>
        <v>473.51</v>
      </c>
      <c r="K66" s="123">
        <f t="shared" si="17"/>
        <v>6764.49</v>
      </c>
      <c r="L66" s="91"/>
      <c r="M66" s="92" t="s">
        <v>1717</v>
      </c>
      <c r="N66" s="92" t="s">
        <v>1711</v>
      </c>
      <c r="O66" s="93">
        <v>0</v>
      </c>
      <c r="P66" s="86" t="s">
        <v>1709</v>
      </c>
      <c r="Q66" s="82">
        <f t="shared" ref="Q66:Q129" si="20">IF(B66=B65,Q65+1,1)</f>
        <v>10</v>
      </c>
      <c r="R66" s="124">
        <f t="shared" ca="1" si="3"/>
        <v>4287.8500000000004</v>
      </c>
      <c r="S66" s="83">
        <v>505065</v>
      </c>
      <c r="T66" s="124">
        <f t="shared" ca="1" si="6"/>
        <v>4587.9995000000008</v>
      </c>
    </row>
    <row r="67" spans="1:20" ht="20.25" customHeight="1">
      <c r="A67" s="85">
        <v>45417</v>
      </c>
      <c r="B67" s="152">
        <v>505025</v>
      </c>
      <c r="C67" s="86" t="s">
        <v>1878</v>
      </c>
      <c r="D67" s="87">
        <v>4892210219831</v>
      </c>
      <c r="E67" s="88" t="str">
        <f>IFERROR(VLOOKUP(D67,ProductMaster!$A:$B,2,FALSE),"")</f>
        <v>018620017</v>
      </c>
      <c r="F67" s="88" t="str">
        <f>IFERROR(VLOOKUP(D67,ProductMaster!$A:$C,3,FALSE),"")</f>
        <v>M12 FID2-0</v>
      </c>
      <c r="G67" s="89" t="str">
        <f>IFERROR(VLOOKUP($D67,ProductMaster!$A:$O,4,FALSE),"")</f>
        <v>ไขควงกระแทกไร้สาย 18 โวลต์ (เครื่องเปล่า)</v>
      </c>
      <c r="H67" s="90">
        <v>1</v>
      </c>
      <c r="I67" s="123">
        <f>IFERROR(VLOOKUP(E67,ProductMaster!B:G,6,FALSE),0)</f>
        <v>4231.7757009345796</v>
      </c>
      <c r="J67" s="123">
        <f t="shared" ref="J67:J130" si="21">ROUND(SUM(I67*7%),2)</f>
        <v>296.22000000000003</v>
      </c>
      <c r="K67" s="123">
        <f t="shared" si="15"/>
        <v>4231.78</v>
      </c>
      <c r="L67" s="91"/>
      <c r="M67" s="92" t="s">
        <v>1717</v>
      </c>
      <c r="N67" s="92" t="s">
        <v>1711</v>
      </c>
      <c r="O67" s="93">
        <v>0</v>
      </c>
      <c r="P67" s="86" t="s">
        <v>129</v>
      </c>
      <c r="Q67" s="82">
        <f t="shared" si="20"/>
        <v>1</v>
      </c>
      <c r="R67" s="124">
        <f t="shared" ref="R67:R76" ca="1" si="22">SUMIF($B$2:$K$500,S67,$K$2:$K$500)</f>
        <v>3300.94</v>
      </c>
      <c r="S67" s="149">
        <v>505066</v>
      </c>
      <c r="T67" s="124">
        <f t="shared" ca="1" si="6"/>
        <v>3532.0058000000004</v>
      </c>
    </row>
    <row r="68" spans="1:20" ht="20.25" customHeight="1">
      <c r="A68" s="85">
        <v>45417</v>
      </c>
      <c r="B68" s="152">
        <v>505025</v>
      </c>
      <c r="C68" s="86" t="s">
        <v>1878</v>
      </c>
      <c r="D68" s="87" t="s">
        <v>1663</v>
      </c>
      <c r="E68" s="88" t="str">
        <f>IFERROR(VLOOKUP(D68,ProductMaster!$A:$B,2,FALSE),"")</f>
        <v>001998232-(BF)</v>
      </c>
      <c r="F68" s="88" t="str">
        <f>IFERROR(VLOOKUP(D68,ProductMaster!$A:$C,3,FALSE),"")</f>
        <v>M12B2ASIA-(BF)</v>
      </c>
      <c r="G68" s="89" t="str">
        <f>IFERROR(VLOOKUP($D68,ProductMaster!$A:$O,4,FALSE),"")</f>
        <v>แบตเตอรี่ 12 โวลต์ 2.0 แอมป์อาว</v>
      </c>
      <c r="H68" s="90">
        <v>1</v>
      </c>
      <c r="I68" s="123">
        <f>IFERROR(VLOOKUP(E68,ProductMaster!B:G,6,FALSE),0)</f>
        <v>738.31775700934577</v>
      </c>
      <c r="J68" s="123">
        <f t="shared" si="21"/>
        <v>51.68</v>
      </c>
      <c r="K68" s="123">
        <f t="shared" si="15"/>
        <v>738.32</v>
      </c>
      <c r="L68" s="148"/>
      <c r="M68" s="92" t="s">
        <v>1717</v>
      </c>
      <c r="N68" s="92" t="s">
        <v>1711</v>
      </c>
      <c r="O68" s="93">
        <v>0</v>
      </c>
      <c r="P68" s="86" t="s">
        <v>129</v>
      </c>
      <c r="Q68" s="82">
        <f t="shared" si="20"/>
        <v>2</v>
      </c>
      <c r="R68" s="124">
        <f t="shared" ca="1" si="22"/>
        <v>5633.66</v>
      </c>
      <c r="S68" s="83">
        <v>505067</v>
      </c>
      <c r="T68" s="124">
        <f t="shared" ref="T68:T76" ca="1" si="23">R68*1.07</f>
        <v>6028.0162</v>
      </c>
    </row>
    <row r="69" spans="1:20" ht="20.25" customHeight="1">
      <c r="A69" s="85">
        <v>45417</v>
      </c>
      <c r="B69" s="152">
        <v>505025</v>
      </c>
      <c r="C69" s="86" t="s">
        <v>1878</v>
      </c>
      <c r="D69" s="87">
        <v>4892210130266</v>
      </c>
      <c r="E69" s="88" t="str">
        <f>IFERROR(VLOOKUP(D69,ProductMaster!$A:$B,2,FALSE),"")</f>
        <v>001998232</v>
      </c>
      <c r="F69" s="88" t="str">
        <f>IFERROR(VLOOKUP(D69,ProductMaster!$A:$C,3,FALSE),"")</f>
        <v>M12 B2 ASIA</v>
      </c>
      <c r="G69" s="89" t="str">
        <f>IFERROR(VLOOKUP($D69,ProductMaster!$A:$O,4,FALSE),"")</f>
        <v>แบตเตอรี่ 12 โวลต์ 2.0 แอมป์อาว</v>
      </c>
      <c r="H69" s="90">
        <v>1</v>
      </c>
      <c r="I69" s="123">
        <f>IFERROR(VLOOKUP(E69,ProductMaster!B:G,6,FALSE),0)</f>
        <v>1110.2803738317757</v>
      </c>
      <c r="J69" s="123">
        <f t="shared" si="21"/>
        <v>77.72</v>
      </c>
      <c r="K69" s="123">
        <f t="shared" si="15"/>
        <v>1110.28</v>
      </c>
      <c r="L69" s="91"/>
      <c r="M69" s="92" t="s">
        <v>1717</v>
      </c>
      <c r="N69" s="92" t="s">
        <v>1711</v>
      </c>
      <c r="O69" s="93">
        <v>0</v>
      </c>
      <c r="P69" s="86" t="s">
        <v>129</v>
      </c>
      <c r="Q69" s="82">
        <f t="shared" si="20"/>
        <v>3</v>
      </c>
      <c r="R69" s="124">
        <f t="shared" ca="1" si="22"/>
        <v>790.65</v>
      </c>
      <c r="S69" s="149">
        <v>505068</v>
      </c>
      <c r="T69" s="124">
        <f t="shared" ca="1" si="23"/>
        <v>845.99549999999999</v>
      </c>
    </row>
    <row r="70" spans="1:20" ht="20.25" customHeight="1">
      <c r="A70" s="85">
        <v>45417</v>
      </c>
      <c r="B70" s="152">
        <v>505026</v>
      </c>
      <c r="C70" s="86" t="s">
        <v>1879</v>
      </c>
      <c r="D70" s="87">
        <v>4892210240033</v>
      </c>
      <c r="E70" s="88" t="str">
        <f>IFERROR(VLOOKUP(D70,ProductMaster!$A:$B,2,FALSE),"")</f>
        <v>059600307</v>
      </c>
      <c r="F70" s="88" t="str">
        <f>IFERROR(VLOOKUP(D70,ProductMaster!$A:$C,3,FALSE),"")</f>
        <v>M18 FPP2AC3-502LR SA</v>
      </c>
      <c r="G70" s="89" t="str">
        <f>IFERROR(VLOOKUP($D70,ProductMaster!$A:$O,4,FALSE),"")</f>
        <v>M18 FPP2AC3-502LR SA (ชุดคอมโบสำหรับช่างไฟ)</v>
      </c>
      <c r="H70" s="90">
        <v>1</v>
      </c>
      <c r="I70" s="123">
        <f>IFERROR(VLOOKUP(E70,ProductMaster!B:G,6,FALSE),0)</f>
        <v>17652.336448598129</v>
      </c>
      <c r="J70" s="123">
        <f t="shared" si="21"/>
        <v>1235.6600000000001</v>
      </c>
      <c r="K70" s="123">
        <f t="shared" si="15"/>
        <v>17652.34</v>
      </c>
      <c r="L70" s="91"/>
      <c r="M70" s="92" t="s">
        <v>127</v>
      </c>
      <c r="N70" s="92" t="s">
        <v>1711</v>
      </c>
      <c r="O70" s="93">
        <v>0</v>
      </c>
      <c r="P70" s="86" t="s">
        <v>1709</v>
      </c>
      <c r="Q70" s="82">
        <f t="shared" si="20"/>
        <v>1</v>
      </c>
      <c r="R70" s="124">
        <f t="shared" ca="1" si="22"/>
        <v>5573.84</v>
      </c>
      <c r="S70" s="83">
        <v>505069</v>
      </c>
      <c r="T70" s="124">
        <f t="shared" ca="1" si="23"/>
        <v>5964.0088000000005</v>
      </c>
    </row>
    <row r="71" spans="1:20" ht="20.25" customHeight="1">
      <c r="A71" s="85">
        <v>45417</v>
      </c>
      <c r="B71" s="152">
        <v>505027</v>
      </c>
      <c r="C71" s="86" t="s">
        <v>1886</v>
      </c>
      <c r="D71" s="87">
        <v>4892210240033</v>
      </c>
      <c r="E71" s="88" t="str">
        <f>IFERROR(VLOOKUP(D71,ProductMaster!$A:$B,2,FALSE),"")</f>
        <v>059600307</v>
      </c>
      <c r="F71" s="88" t="str">
        <f>IFERROR(VLOOKUP(D71,ProductMaster!$A:$C,3,FALSE),"")</f>
        <v>M18 FPP2AC3-502LR SA</v>
      </c>
      <c r="G71" s="89" t="str">
        <f>IFERROR(VLOOKUP($D71,ProductMaster!$A:$O,4,FALSE),"")</f>
        <v>M18 FPP2AC3-502LR SA (ชุดคอมโบสำหรับช่างไฟ)</v>
      </c>
      <c r="H71" s="90">
        <v>1</v>
      </c>
      <c r="I71" s="123">
        <f>IFERROR(VLOOKUP(E71,ProductMaster!B:G,6,FALSE),0)</f>
        <v>17652.336448598129</v>
      </c>
      <c r="J71" s="123">
        <f t="shared" si="21"/>
        <v>1235.6600000000001</v>
      </c>
      <c r="K71" s="123">
        <f t="shared" si="15"/>
        <v>17652.34</v>
      </c>
      <c r="L71" s="91"/>
      <c r="M71" s="92" t="s">
        <v>127</v>
      </c>
      <c r="N71" s="92" t="s">
        <v>1711</v>
      </c>
      <c r="O71" s="93">
        <v>0</v>
      </c>
      <c r="P71" s="86" t="s">
        <v>1709</v>
      </c>
      <c r="Q71" s="82">
        <f t="shared" si="20"/>
        <v>1</v>
      </c>
      <c r="R71" s="124">
        <f t="shared" ca="1" si="22"/>
        <v>157.01</v>
      </c>
      <c r="S71" s="149">
        <v>505070</v>
      </c>
      <c r="T71" s="124">
        <f t="shared" ca="1" si="23"/>
        <v>168.00069999999999</v>
      </c>
    </row>
    <row r="72" spans="1:20" ht="20.25" customHeight="1">
      <c r="A72" s="85">
        <v>45417</v>
      </c>
      <c r="B72" s="152">
        <v>505028</v>
      </c>
      <c r="C72" s="86" t="s">
        <v>6</v>
      </c>
      <c r="D72" s="87">
        <v>45242573912</v>
      </c>
      <c r="E72" s="88" t="str">
        <f>IFERROR(VLOOKUP(D72,ProductMaster!$A:$B,2,FALSE),"")</f>
        <v>006105507</v>
      </c>
      <c r="F72" s="88" t="str">
        <f>IFERROR(VLOOKUP(D72,ProductMaster!$A:$C,3,FALSE),"")</f>
        <v>48-22-1505</v>
      </c>
      <c r="G72" s="89" t="str">
        <f>IFERROR(VLOOKUP($D72,ProductMaster!$A:$O,4,FALSE),"")</f>
        <v xml:space="preserve">มีดพับอเนกประสงค์ พร้อมช่องเก็บใบมีด รุ่น FASTBACK™ 6 IN 1 </v>
      </c>
      <c r="H72" s="90">
        <v>1</v>
      </c>
      <c r="I72" s="123">
        <f>IFERROR(VLOOKUP(E72,ProductMaster!B:G,6,FALSE),0)</f>
        <v>699.06542056074761</v>
      </c>
      <c r="J72" s="123">
        <f t="shared" si="21"/>
        <v>48.93</v>
      </c>
      <c r="K72" s="123">
        <f t="shared" si="15"/>
        <v>699.07</v>
      </c>
      <c r="L72" s="91"/>
      <c r="M72" s="92" t="s">
        <v>127</v>
      </c>
      <c r="N72" s="92" t="s">
        <v>1711</v>
      </c>
      <c r="O72" s="93">
        <v>0</v>
      </c>
      <c r="P72" s="86" t="s">
        <v>129</v>
      </c>
      <c r="Q72" s="82">
        <f t="shared" si="20"/>
        <v>1</v>
      </c>
      <c r="R72" s="124">
        <f t="shared" ca="1" si="22"/>
        <v>0</v>
      </c>
      <c r="S72" s="149">
        <v>505071</v>
      </c>
      <c r="T72" s="124">
        <f t="shared" ca="1" si="23"/>
        <v>0</v>
      </c>
    </row>
    <row r="73" spans="1:20" ht="20.25" customHeight="1">
      <c r="A73" s="85">
        <v>45417</v>
      </c>
      <c r="B73" s="152">
        <v>505029</v>
      </c>
      <c r="C73" s="86" t="s">
        <v>6</v>
      </c>
      <c r="D73" s="87">
        <v>45242475230</v>
      </c>
      <c r="E73" s="88" t="str">
        <f>IFERROR(VLOOKUP(D73,ProductMaster!$A:$B,2,FALSE),"")</f>
        <v>008051205</v>
      </c>
      <c r="F73" s="88" t="str">
        <f>IFERROR(VLOOKUP(D73,ProductMaster!$A:$C,3,FALSE),"")</f>
        <v>48-32-4364</v>
      </c>
      <c r="G73" s="89" t="str">
        <f>IFERROR(VLOOKUP($D73,ProductMaster!$A:$O,4,FALSE),"")</f>
        <v xml:space="preserve">ดอกไขควง PH2-110 มม. Double Ended  (10 ดอก) </v>
      </c>
      <c r="H73" s="90">
        <v>1</v>
      </c>
      <c r="I73" s="123">
        <f>IFERROR(VLOOKUP(E73,ProductMaster!B:G,6,FALSE),0)</f>
        <v>586.91588785046724</v>
      </c>
      <c r="J73" s="123">
        <f t="shared" si="21"/>
        <v>41.08</v>
      </c>
      <c r="K73" s="123">
        <f t="shared" si="15"/>
        <v>586.91999999999996</v>
      </c>
      <c r="L73" s="91"/>
      <c r="M73" s="92" t="s">
        <v>127</v>
      </c>
      <c r="N73" s="92" t="s">
        <v>1711</v>
      </c>
      <c r="O73" s="93">
        <v>0</v>
      </c>
      <c r="P73" s="86" t="s">
        <v>129</v>
      </c>
      <c r="Q73" s="82">
        <f t="shared" si="20"/>
        <v>1</v>
      </c>
      <c r="R73" s="124">
        <f t="shared" ca="1" si="22"/>
        <v>0</v>
      </c>
      <c r="S73" s="83">
        <v>505072</v>
      </c>
      <c r="T73" s="124">
        <f t="shared" ca="1" si="23"/>
        <v>0</v>
      </c>
    </row>
    <row r="74" spans="1:20" ht="20.25" customHeight="1">
      <c r="A74" s="85">
        <v>45417</v>
      </c>
      <c r="B74" s="152">
        <v>505030</v>
      </c>
      <c r="C74" s="86" t="s">
        <v>6</v>
      </c>
      <c r="D74" s="87">
        <v>1318423879119</v>
      </c>
      <c r="E74" s="88" t="str">
        <f>IFERROR(VLOOKUP(D74,ProductMaster!$A:$B,2,FALSE),"")</f>
        <v>059600269</v>
      </c>
      <c r="F74" s="88" t="str">
        <f>IFERROR(VLOOKUP(D74,ProductMaster!$A:$C,3,FALSE),"")</f>
        <v>M12 FPP2CB-401BLR SA</v>
      </c>
      <c r="G74" s="89" t="str">
        <f>IFERROR(VLOOKUP($D74,ProductMaster!$A:$O,4,FALSE),"")</f>
        <v>M12 Vacuum Combo</v>
      </c>
      <c r="H74" s="90">
        <v>1</v>
      </c>
      <c r="I74" s="123">
        <f>IFERROR(VLOOKUP(E74,ProductMaster!B:G,6,FALSE),0)</f>
        <v>10175.700934579439</v>
      </c>
      <c r="J74" s="123">
        <f t="shared" si="21"/>
        <v>712.3</v>
      </c>
      <c r="K74" s="123">
        <f t="shared" ref="K74:K137" si="24">ROUND(SUM(H74*I74),2)</f>
        <v>10175.700000000001</v>
      </c>
      <c r="L74" s="91">
        <v>2000</v>
      </c>
      <c r="M74" s="92" t="s">
        <v>123</v>
      </c>
      <c r="N74" s="92" t="s">
        <v>1711</v>
      </c>
      <c r="O74" s="93">
        <v>0</v>
      </c>
      <c r="P74" s="86" t="s">
        <v>129</v>
      </c>
      <c r="Q74" s="82">
        <f t="shared" si="20"/>
        <v>1</v>
      </c>
      <c r="R74" s="124">
        <f t="shared" ca="1" si="22"/>
        <v>0</v>
      </c>
      <c r="S74" s="149">
        <v>505073</v>
      </c>
      <c r="T74" s="124">
        <f t="shared" ca="1" si="23"/>
        <v>0</v>
      </c>
    </row>
    <row r="75" spans="1:20" ht="20.25" customHeight="1">
      <c r="A75" s="85">
        <v>45417</v>
      </c>
      <c r="B75" s="152">
        <v>505031</v>
      </c>
      <c r="C75" s="86" t="s">
        <v>6</v>
      </c>
      <c r="D75" s="87">
        <v>45242502691</v>
      </c>
      <c r="E75" s="88" t="str">
        <f>IFERROR(VLOOKUP(D75,ProductMaster!$A:$B,2,FALSE),"")</f>
        <v>076002284</v>
      </c>
      <c r="F75" s="88" t="str">
        <f>IFERROR(VLOOKUP(D75,ProductMaster!$A:$C,3,FALSE),"")</f>
        <v>48-22-7816</v>
      </c>
      <c r="G75" s="89" t="str">
        <f>IFERROR(VLOOKUP($D75,ProductMaster!$A:$O,4,FALSE),"")</f>
        <v>ตลับเมตรรุ่น RED 5 เมตร/16 ฟุต</v>
      </c>
      <c r="H75" s="90">
        <v>1</v>
      </c>
      <c r="I75" s="123">
        <f>IFERROR(VLOOKUP(E75,ProductMaster!B:G,6,FALSE),0)</f>
        <v>287.85046728971963</v>
      </c>
      <c r="J75" s="123">
        <f t="shared" si="21"/>
        <v>20.149999999999999</v>
      </c>
      <c r="K75" s="123">
        <f t="shared" si="24"/>
        <v>287.85000000000002</v>
      </c>
      <c r="L75" s="91"/>
      <c r="M75" s="92" t="s">
        <v>127</v>
      </c>
      <c r="N75" s="92" t="s">
        <v>1711</v>
      </c>
      <c r="O75" s="93">
        <v>0</v>
      </c>
      <c r="P75" s="86" t="s">
        <v>129</v>
      </c>
      <c r="Q75" s="82">
        <f t="shared" si="20"/>
        <v>1</v>
      </c>
      <c r="R75" s="124">
        <f t="shared" ca="1" si="22"/>
        <v>0</v>
      </c>
      <c r="S75" s="83">
        <v>505074</v>
      </c>
      <c r="T75" s="124">
        <f t="shared" ca="1" si="23"/>
        <v>0</v>
      </c>
    </row>
    <row r="76" spans="1:20" ht="20.25" customHeight="1">
      <c r="A76" s="85">
        <v>45417</v>
      </c>
      <c r="B76" s="152">
        <v>505032</v>
      </c>
      <c r="C76" s="86" t="s">
        <v>6</v>
      </c>
      <c r="D76" s="87">
        <v>4892210183637</v>
      </c>
      <c r="E76" s="88" t="str">
        <f>IFERROR(VLOOKUP(D76,ProductMaster!$A:$B,2,FALSE),"")</f>
        <v>076002492</v>
      </c>
      <c r="F76" s="88" t="str">
        <f>IFERROR(VLOOKUP(D76,ProductMaster!$A:$C,3,FALSE),"")</f>
        <v>48-22-0616</v>
      </c>
      <c r="G76" s="89" t="str">
        <f>IFERROR(VLOOKUP($D76,ProductMaster!$A:$O,4,FALSE),"")</f>
        <v>ตลับเมตรรุ่น COMPACT MAGNETIC 5 เมตร/16 ฟุต</v>
      </c>
      <c r="H76" s="90">
        <v>1</v>
      </c>
      <c r="I76" s="123">
        <f>IFERROR(VLOOKUP(E76,ProductMaster!B:G,6,FALSE),0)</f>
        <v>633.64485981308417</v>
      </c>
      <c r="J76" s="123">
        <f t="shared" si="21"/>
        <v>44.36</v>
      </c>
      <c r="K76" s="123">
        <f t="shared" si="24"/>
        <v>633.64</v>
      </c>
      <c r="L76" s="91"/>
      <c r="M76" s="92" t="s">
        <v>127</v>
      </c>
      <c r="N76" s="92" t="s">
        <v>1711</v>
      </c>
      <c r="O76" s="93">
        <v>0</v>
      </c>
      <c r="P76" s="86" t="s">
        <v>129</v>
      </c>
      <c r="Q76" s="82">
        <f t="shared" si="20"/>
        <v>1</v>
      </c>
      <c r="R76" s="124">
        <f t="shared" ca="1" si="22"/>
        <v>0</v>
      </c>
      <c r="S76" s="149">
        <v>505075</v>
      </c>
      <c r="T76" s="124">
        <f t="shared" ca="1" si="23"/>
        <v>0</v>
      </c>
    </row>
    <row r="77" spans="1:20" ht="20.25" customHeight="1">
      <c r="A77" s="85">
        <v>45417</v>
      </c>
      <c r="B77" s="152">
        <v>505033</v>
      </c>
      <c r="C77" s="86" t="s">
        <v>1885</v>
      </c>
      <c r="D77" s="87">
        <v>45242524211</v>
      </c>
      <c r="E77" s="88" t="str">
        <f>IFERROR(VLOOKUP(D77,ProductMaster!$A:$B,2,FALSE),"")</f>
        <v>129305302</v>
      </c>
      <c r="F77" s="88" t="str">
        <f>IFERROR(VLOOKUP(D77,ProductMaster!$A:$C,3,FALSE),"")</f>
        <v>48-22-8436</v>
      </c>
      <c r="G77" s="89" t="str">
        <f>IFERROR(VLOOKUP($D77,ProductMaster!$A:$O,4,FALSE),"")</f>
        <v>กล่องอุปกรณ์ช่าง PACKOUT Low Profile Compact Organizer</v>
      </c>
      <c r="H77" s="90">
        <v>2</v>
      </c>
      <c r="I77" s="123">
        <f>IFERROR(VLOOKUP(E77,ProductMaster!B:G,6,FALSE),0)</f>
        <v>1203.7383177570093</v>
      </c>
      <c r="J77" s="123">
        <f t="shared" si="21"/>
        <v>84.26</v>
      </c>
      <c r="K77" s="123">
        <f t="shared" si="24"/>
        <v>2407.48</v>
      </c>
      <c r="L77" s="91"/>
      <c r="M77" s="92" t="s">
        <v>127</v>
      </c>
      <c r="N77" s="92" t="s">
        <v>1711</v>
      </c>
      <c r="O77" s="93">
        <v>0</v>
      </c>
      <c r="P77" s="86" t="s">
        <v>1709</v>
      </c>
      <c r="Q77" s="82">
        <f t="shared" si="20"/>
        <v>1</v>
      </c>
    </row>
    <row r="78" spans="1:20" ht="20.25" customHeight="1">
      <c r="A78" s="85">
        <v>45417</v>
      </c>
      <c r="B78" s="152">
        <v>505033</v>
      </c>
      <c r="C78" s="86" t="s">
        <v>1885</v>
      </c>
      <c r="D78" s="87">
        <v>45242505333</v>
      </c>
      <c r="E78" s="88" t="str">
        <f>IFERROR(VLOOKUP(D78,ProductMaster!$A:$B,2,FALSE),"")</f>
        <v>129305051</v>
      </c>
      <c r="F78" s="88" t="str">
        <f>IFERROR(VLOOKUP(D78,ProductMaster!$A:$C,3,FALSE),"")</f>
        <v>48-22-8424</v>
      </c>
      <c r="G78" s="89" t="str">
        <f>IFERROR(VLOOKUP($D78,ProductMaster!$A:$O,4,FALSE),"")</f>
        <v xml:space="preserve">กล่องเครื่องมือ PACKOUT ขนาดกลาง </v>
      </c>
      <c r="H78" s="90">
        <v>1</v>
      </c>
      <c r="I78" s="123">
        <f>IFERROR(VLOOKUP(E78,ProductMaster!B:G,6,FALSE),0)</f>
        <v>3166.3551401869158</v>
      </c>
      <c r="J78" s="123">
        <f t="shared" si="21"/>
        <v>221.64</v>
      </c>
      <c r="K78" s="123">
        <f t="shared" si="24"/>
        <v>3166.36</v>
      </c>
      <c r="L78" s="91"/>
      <c r="M78" s="92" t="s">
        <v>127</v>
      </c>
      <c r="N78" s="92" t="s">
        <v>1711</v>
      </c>
      <c r="O78" s="93">
        <v>0</v>
      </c>
      <c r="P78" s="86" t="s">
        <v>1709</v>
      </c>
      <c r="Q78" s="82">
        <f t="shared" si="20"/>
        <v>2</v>
      </c>
    </row>
    <row r="79" spans="1:20" ht="20.25" customHeight="1">
      <c r="A79" s="85">
        <v>45417</v>
      </c>
      <c r="B79" s="152">
        <v>505033</v>
      </c>
      <c r="C79" s="86" t="s">
        <v>1885</v>
      </c>
      <c r="D79" s="87">
        <v>45242505319</v>
      </c>
      <c r="E79" s="88" t="str">
        <f>IFERROR(VLOOKUP(D79,ProductMaster!$A:$B,2,FALSE),"")</f>
        <v>129305052</v>
      </c>
      <c r="F79" s="88" t="str">
        <f>IFERROR(VLOOKUP(D79,ProductMaster!$A:$C,3,FALSE),"")</f>
        <v>48-22-8430</v>
      </c>
      <c r="G79" s="89" t="str">
        <f>IFERROR(VLOOKUP($D79,ProductMaster!$A:$O,4,FALSE),"")</f>
        <v>กล่องเครื่องมือ PACKOUT ออแกนไนซ์เซอร์</v>
      </c>
      <c r="H79" s="90">
        <v>1</v>
      </c>
      <c r="I79" s="123">
        <f>IFERROR(VLOOKUP(E79,ProductMaster!B:G,6,FALSE),0)</f>
        <v>2512.1495327102803</v>
      </c>
      <c r="J79" s="123">
        <f t="shared" si="21"/>
        <v>175.85</v>
      </c>
      <c r="K79" s="123">
        <f t="shared" si="24"/>
        <v>2512.15</v>
      </c>
      <c r="L79" s="91"/>
      <c r="M79" s="92" t="s">
        <v>127</v>
      </c>
      <c r="N79" s="92" t="s">
        <v>1711</v>
      </c>
      <c r="O79" s="93">
        <v>0</v>
      </c>
      <c r="P79" s="86" t="s">
        <v>1709</v>
      </c>
      <c r="Q79" s="82">
        <f t="shared" si="20"/>
        <v>3</v>
      </c>
    </row>
    <row r="80" spans="1:20" ht="20.25" customHeight="1">
      <c r="A80" s="85">
        <v>45417</v>
      </c>
      <c r="B80" s="152">
        <v>505033</v>
      </c>
      <c r="C80" s="86" t="s">
        <v>1885</v>
      </c>
      <c r="D80" s="87">
        <v>45242630585</v>
      </c>
      <c r="E80" s="88" t="str">
        <f>IFERROR(VLOOKUP(D80,ProductMaster!$A:$B,2,FALSE),"")</f>
        <v>006138701</v>
      </c>
      <c r="F80" s="88" t="str">
        <f>IFERROR(VLOOKUP(D80,ProductMaster!$A:$C,3,FALSE),"")</f>
        <v>48-22-2182</v>
      </c>
      <c r="G80" s="89" t="str">
        <f>IFERROR(VLOOKUP($D80,ProductMaster!$A:$O,4,FALSE),"")</f>
        <v>ประแจหกเหลี่ยมแบบพับเก็บ 8 ชิ้น</v>
      </c>
      <c r="H80" s="90">
        <v>1</v>
      </c>
      <c r="I80" s="123">
        <f>IFERROR(VLOOKUP(E80,ProductMaster!B:G,6,FALSE),0)</f>
        <v>549.53271028037386</v>
      </c>
      <c r="J80" s="123">
        <f t="shared" si="21"/>
        <v>38.47</v>
      </c>
      <c r="K80" s="123">
        <f t="shared" si="24"/>
        <v>549.53</v>
      </c>
      <c r="L80" s="91"/>
      <c r="M80" s="92" t="s">
        <v>127</v>
      </c>
      <c r="N80" s="92" t="s">
        <v>1711</v>
      </c>
      <c r="O80" s="93">
        <v>0</v>
      </c>
      <c r="P80" s="86" t="s">
        <v>1709</v>
      </c>
      <c r="Q80" s="82">
        <f t="shared" si="20"/>
        <v>4</v>
      </c>
    </row>
    <row r="81" spans="1:65" ht="20.25" customHeight="1">
      <c r="A81" s="85">
        <v>45417</v>
      </c>
      <c r="B81" s="152">
        <v>505033</v>
      </c>
      <c r="C81" s="86" t="s">
        <v>1885</v>
      </c>
      <c r="D81" s="87">
        <v>45242600694</v>
      </c>
      <c r="E81" s="88" t="str">
        <f>IFERROR(VLOOKUP(D81,ProductMaster!$A:$B,2,FALSE),"")</f>
        <v>129305883</v>
      </c>
      <c r="F81" s="88" t="str">
        <f>IFERROR(VLOOKUP(D81,ProductMaster!$A:$C,3,FALSE),"")</f>
        <v>48-22-8432</v>
      </c>
      <c r="G81" s="89" t="str">
        <f>IFERROR(VLOOKUP($D81,ProductMaster!$A:$O,4,FALSE),"")</f>
        <v>กล่องเครื่องมือ PACKOUT Deep Organizer</v>
      </c>
      <c r="H81" s="90">
        <v>1</v>
      </c>
      <c r="I81" s="123">
        <f>IFERROR(VLOOKUP(E81,ProductMaster!B:G,6,FALSE),0)</f>
        <v>3353.2710280373831</v>
      </c>
      <c r="J81" s="123">
        <f t="shared" si="21"/>
        <v>234.73</v>
      </c>
      <c r="K81" s="123">
        <f t="shared" si="24"/>
        <v>3353.27</v>
      </c>
      <c r="L81" s="91"/>
      <c r="M81" s="92" t="s">
        <v>127</v>
      </c>
      <c r="N81" s="92" t="s">
        <v>1711</v>
      </c>
      <c r="O81" s="93">
        <v>0</v>
      </c>
      <c r="P81" s="86" t="s">
        <v>1709</v>
      </c>
      <c r="Q81" s="82">
        <f t="shared" si="20"/>
        <v>5</v>
      </c>
    </row>
    <row r="82" spans="1:65" ht="20.25" customHeight="1">
      <c r="A82" s="85">
        <v>45417</v>
      </c>
      <c r="B82" s="152">
        <v>505033</v>
      </c>
      <c r="C82" s="86" t="s">
        <v>1885</v>
      </c>
      <c r="D82" s="87">
        <v>45242505357</v>
      </c>
      <c r="E82" s="88" t="str">
        <f>IFERROR(VLOOKUP(D82,ProductMaster!$A:$B,2,FALSE),"")</f>
        <v>129305049</v>
      </c>
      <c r="F82" s="88" t="str">
        <f>IFERROR(VLOOKUP(D82,ProductMaster!$A:$C,3,FALSE),"")</f>
        <v>48-22-8426</v>
      </c>
      <c r="G82" s="89" t="str">
        <f>IFERROR(VLOOKUP($D82,ProductMaster!$A:$O,4,FALSE),"")</f>
        <v>กล่องเครื่องมือ PACKOUT ล้อลาก</v>
      </c>
      <c r="H82" s="90">
        <v>1</v>
      </c>
      <c r="I82" s="123">
        <f>IFERROR(VLOOKUP(E82,ProductMaster!B:G,6,FALSE),0)</f>
        <v>6717.7570093457944</v>
      </c>
      <c r="J82" s="123">
        <f t="shared" si="21"/>
        <v>470.24</v>
      </c>
      <c r="K82" s="123">
        <f t="shared" si="24"/>
        <v>6717.76</v>
      </c>
      <c r="L82" s="91"/>
      <c r="M82" s="92" t="s">
        <v>127</v>
      </c>
      <c r="N82" s="92" t="s">
        <v>1711</v>
      </c>
      <c r="O82" s="93">
        <v>0</v>
      </c>
      <c r="P82" s="86" t="s">
        <v>1709</v>
      </c>
      <c r="Q82" s="82">
        <f t="shared" si="20"/>
        <v>6</v>
      </c>
    </row>
    <row r="83" spans="1:65" ht="20.25" customHeight="1">
      <c r="A83" s="85">
        <v>45417</v>
      </c>
      <c r="B83" s="152">
        <v>505034</v>
      </c>
      <c r="C83" s="86" t="s">
        <v>6</v>
      </c>
      <c r="D83" s="87">
        <v>4892210132215</v>
      </c>
      <c r="E83" s="88" t="str">
        <f>IFERROR(VLOOKUP(D83,ProductMaster!$A:$B,2,FALSE),"")</f>
        <v>000999671</v>
      </c>
      <c r="F83" s="88" t="str">
        <f>IFERROR(VLOOKUP(D83,ProductMaster!$A:$C,3,FALSE),"")</f>
        <v>M1218C</v>
      </c>
      <c r="G83" s="89" t="str">
        <f>IFERROR(VLOOKUP($D83,ProductMaster!$A:$O,4,FALSE),"")</f>
        <v>แท่นชาร์จแบตเตอรี่ 12-18 โวลต์</v>
      </c>
      <c r="H83" s="90">
        <v>1</v>
      </c>
      <c r="I83" s="123">
        <f>IFERROR(VLOOKUP(E83,ProductMaster!B:G,6,FALSE),0)</f>
        <v>1764.4859813084113</v>
      </c>
      <c r="J83" s="123">
        <f t="shared" si="21"/>
        <v>123.51</v>
      </c>
      <c r="K83" s="123">
        <f t="shared" si="24"/>
        <v>1764.49</v>
      </c>
      <c r="L83" s="148"/>
      <c r="M83" s="92" t="s">
        <v>127</v>
      </c>
      <c r="N83" s="92" t="s">
        <v>1711</v>
      </c>
      <c r="O83" s="93">
        <v>0</v>
      </c>
      <c r="P83" s="86" t="s">
        <v>129</v>
      </c>
      <c r="Q83" s="82">
        <f t="shared" si="20"/>
        <v>1</v>
      </c>
    </row>
    <row r="84" spans="1:65" ht="20.25" customHeight="1">
      <c r="A84" s="85">
        <v>45417</v>
      </c>
      <c r="B84" s="152">
        <v>505034</v>
      </c>
      <c r="C84" s="86" t="s">
        <v>6</v>
      </c>
      <c r="D84" s="87">
        <v>4892210182494</v>
      </c>
      <c r="E84" s="88" t="str">
        <f>IFERROR(VLOOKUP(D84,ProductMaster!$A:$B,2,FALSE),"")</f>
        <v>018370003</v>
      </c>
      <c r="F84" s="88" t="str">
        <f>IFERROR(VLOOKUP(D84,ProductMaster!$A:$C,3,FALSE),"")</f>
        <v>M12 FQID-0 ASIA</v>
      </c>
      <c r="G84" s="89" t="str">
        <f>IFERROR(VLOOKUP($D84,ProductMaster!$A:$O,4,FALSE),"")</f>
        <v>ไขควงกระแทกไร้สาย 12 โวลต์ ระบบไฮดรอลิก (เครื่องเปล่า)</v>
      </c>
      <c r="H84" s="90">
        <v>1</v>
      </c>
      <c r="I84" s="123">
        <f>IFERROR(VLOOKUP(E84,ProductMaster!B:G,6,FALSE),0)</f>
        <v>5970.0934579439254</v>
      </c>
      <c r="J84" s="123">
        <f t="shared" si="21"/>
        <v>417.91</v>
      </c>
      <c r="K84" s="123">
        <f t="shared" si="24"/>
        <v>5970.09</v>
      </c>
      <c r="L84" s="148"/>
      <c r="M84" s="92" t="s">
        <v>127</v>
      </c>
      <c r="N84" s="92" t="s">
        <v>1711</v>
      </c>
      <c r="O84" s="93">
        <v>0</v>
      </c>
      <c r="P84" s="86" t="s">
        <v>129</v>
      </c>
      <c r="Q84" s="82">
        <f t="shared" si="20"/>
        <v>2</v>
      </c>
    </row>
    <row r="85" spans="1:65" ht="20.25" customHeight="1">
      <c r="A85" s="85">
        <v>45417</v>
      </c>
      <c r="B85" s="152">
        <v>505034</v>
      </c>
      <c r="C85" s="86" t="s">
        <v>6</v>
      </c>
      <c r="D85" s="87" t="s">
        <v>1667</v>
      </c>
      <c r="E85" s="88" t="str">
        <f>IFERROR(VLOOKUP(D85,ProductMaster!$A:$B,2,FALSE),"")</f>
        <v>001998233-(BF)</v>
      </c>
      <c r="F85" s="88" t="str">
        <f>IFERROR(VLOOKUP(D85,ProductMaster!$A:$C,3,FALSE),"")</f>
        <v>M12B4ASIA-(BF)</v>
      </c>
      <c r="G85" s="89" t="str">
        <f>IFERROR(VLOOKUP($D85,ProductMaster!$A:$O,4,FALSE),"")</f>
        <v>แบตเตอรี่ 12 โวลต์ 4.0 แอมป์อาว</v>
      </c>
      <c r="H85" s="90">
        <v>1</v>
      </c>
      <c r="I85" s="123">
        <f>IFERROR(VLOOKUP(E85,ProductMaster!B:G,6,FALSE),0)</f>
        <v>1112.1495327102805</v>
      </c>
      <c r="J85" s="123">
        <f t="shared" si="21"/>
        <v>77.849999999999994</v>
      </c>
      <c r="K85" s="123">
        <f t="shared" si="24"/>
        <v>1112.1500000000001</v>
      </c>
      <c r="L85" s="148"/>
      <c r="M85" s="92" t="s">
        <v>127</v>
      </c>
      <c r="N85" s="92" t="s">
        <v>1711</v>
      </c>
      <c r="O85" s="93">
        <v>0</v>
      </c>
      <c r="P85" s="86" t="s">
        <v>129</v>
      </c>
      <c r="Q85" s="82">
        <f t="shared" si="20"/>
        <v>3</v>
      </c>
    </row>
    <row r="86" spans="1:65" ht="20.25" customHeight="1">
      <c r="A86" s="85">
        <v>45417</v>
      </c>
      <c r="B86" s="152">
        <v>505034</v>
      </c>
      <c r="C86" s="86" t="s">
        <v>6</v>
      </c>
      <c r="D86" s="87" t="s">
        <v>1638</v>
      </c>
      <c r="E86" s="88" t="str">
        <f>IFERROR(VLOOKUP(D86,ProductMaster!$A:$B,2,FALSE),"")</f>
        <v>000138153-(BF)</v>
      </c>
      <c r="F86" s="88" t="str">
        <f>IFERROR(VLOOKUP(D86,ProductMaster!$A:$C,3,FALSE),"")</f>
        <v>C12CSA-(BF)</v>
      </c>
      <c r="G86" s="89" t="str">
        <f>IFERROR(VLOOKUP($D86,ProductMaster!$A:$O,4,FALSE),"")</f>
        <v>แท่นชาร์จแบตเตอรี่ 12 โวลต์</v>
      </c>
      <c r="H86" s="90">
        <v>1</v>
      </c>
      <c r="I86" s="123">
        <f>IFERROR(VLOOKUP(E86,ProductMaster!B:G,6,FALSE),0)</f>
        <v>925.23364485981313</v>
      </c>
      <c r="J86" s="123">
        <f t="shared" si="21"/>
        <v>64.77</v>
      </c>
      <c r="K86" s="123">
        <f t="shared" si="24"/>
        <v>925.23</v>
      </c>
      <c r="L86" s="148"/>
      <c r="M86" s="92" t="s">
        <v>127</v>
      </c>
      <c r="N86" s="92" t="s">
        <v>1711</v>
      </c>
      <c r="O86" s="93">
        <v>0</v>
      </c>
      <c r="P86" s="86" t="s">
        <v>129</v>
      </c>
      <c r="Q86" s="82">
        <f t="shared" si="20"/>
        <v>4</v>
      </c>
    </row>
    <row r="87" spans="1:65" ht="20.25" customHeight="1">
      <c r="A87" s="85">
        <v>45417</v>
      </c>
      <c r="B87" s="152">
        <v>505035</v>
      </c>
      <c r="C87" s="86" t="s">
        <v>6</v>
      </c>
      <c r="D87" s="87">
        <v>45242475216</v>
      </c>
      <c r="E87" s="88" t="str">
        <f>IFERROR(VLOOKUP(D87,ProductMaster!$A:$B,2,FALSE),"")</f>
        <v>008051202</v>
      </c>
      <c r="F87" s="88" t="str">
        <f>IFERROR(VLOOKUP(D87,ProductMaster!$A:$C,3,FALSE),"")</f>
        <v>48-32-4361</v>
      </c>
      <c r="G87" s="89" t="str">
        <f>IFERROR(VLOOKUP($D87,ProductMaster!$A:$O,4,FALSE),"")</f>
        <v xml:space="preserve">ดอกไขควง PH2-65 มม. Double Ended  (10 ดอก) </v>
      </c>
      <c r="H87" s="90">
        <v>1</v>
      </c>
      <c r="I87" s="123">
        <f>IFERROR(VLOOKUP(E87,ProductMaster!B:G,6,FALSE),0)</f>
        <v>409.34579439252337</v>
      </c>
      <c r="J87" s="123">
        <f t="shared" si="21"/>
        <v>28.65</v>
      </c>
      <c r="K87" s="123">
        <f t="shared" si="24"/>
        <v>409.35</v>
      </c>
      <c r="L87" s="148"/>
      <c r="M87" s="92" t="s">
        <v>127</v>
      </c>
      <c r="N87" s="92" t="s">
        <v>1711</v>
      </c>
      <c r="O87" s="93">
        <v>0</v>
      </c>
      <c r="P87" s="86" t="s">
        <v>129</v>
      </c>
      <c r="Q87" s="82">
        <f t="shared" si="20"/>
        <v>1</v>
      </c>
    </row>
    <row r="88" spans="1:65" ht="20.25" customHeight="1">
      <c r="A88" s="85">
        <v>45417</v>
      </c>
      <c r="B88" s="152">
        <v>505036</v>
      </c>
      <c r="C88" s="86" t="s">
        <v>6</v>
      </c>
      <c r="D88" s="87">
        <v>45242195022</v>
      </c>
      <c r="E88" s="88" t="str">
        <f>IFERROR(VLOOKUP(D88,ProductMaster!$A:$B,2,FALSE),"")</f>
        <v>129225592</v>
      </c>
      <c r="F88" s="88" t="str">
        <f>IFERROR(VLOOKUP(D88,ProductMaster!$A:$C,3,FALSE),"")</f>
        <v>48-32-5031</v>
      </c>
      <c r="G88" s="89" t="str">
        <f>IFERROR(VLOOKUP($D88,ProductMaster!$A:$O,4,FALSE),"")</f>
        <v xml:space="preserve">อะแดปเตอร์หัวบล็อก 3/8" แกนหกเหลี่ยม </v>
      </c>
      <c r="H88" s="90">
        <v>1</v>
      </c>
      <c r="I88" s="123">
        <f>IFERROR(VLOOKUP(E88,ProductMaster!B:G,6,FALSE),0)</f>
        <v>82.242990654205613</v>
      </c>
      <c r="J88" s="123">
        <f t="shared" si="21"/>
        <v>5.76</v>
      </c>
      <c r="K88" s="123">
        <f t="shared" si="24"/>
        <v>82.24</v>
      </c>
      <c r="L88" s="148"/>
      <c r="M88" s="92" t="s">
        <v>125</v>
      </c>
      <c r="N88" s="92" t="s">
        <v>1711</v>
      </c>
      <c r="O88" s="93">
        <v>0</v>
      </c>
      <c r="P88" s="86" t="s">
        <v>129</v>
      </c>
      <c r="Q88" s="82">
        <f t="shared" si="20"/>
        <v>1</v>
      </c>
    </row>
    <row r="89" spans="1:65" ht="20.25" customHeight="1">
      <c r="A89" s="85">
        <v>45417</v>
      </c>
      <c r="B89" s="152">
        <v>505036</v>
      </c>
      <c r="C89" s="86" t="s">
        <v>6</v>
      </c>
      <c r="D89" s="87">
        <v>45242502684</v>
      </c>
      <c r="E89" s="88" t="str">
        <f>IFERROR(VLOOKUP(D89,ProductMaster!$A:$B,2,FALSE),"")</f>
        <v>076002283</v>
      </c>
      <c r="F89" s="88" t="str">
        <f>IFERROR(VLOOKUP(D89,ProductMaster!$A:$C,3,FALSE),"")</f>
        <v>48-22-7812</v>
      </c>
      <c r="G89" s="89" t="str">
        <f>IFERROR(VLOOKUP($D89,ProductMaster!$A:$O,4,FALSE),"")</f>
        <v>ตลับเมตรรุ่น RED 3 เมตร/10 ฟุต</v>
      </c>
      <c r="H89" s="90">
        <v>1</v>
      </c>
      <c r="I89" s="123">
        <f>IFERROR(VLOOKUP(E89,ProductMaster!B:G,6,FALSE),0)</f>
        <v>222.42990654205607</v>
      </c>
      <c r="J89" s="123">
        <f t="shared" si="21"/>
        <v>15.57</v>
      </c>
      <c r="K89" s="123">
        <f t="shared" si="24"/>
        <v>222.43</v>
      </c>
      <c r="L89" s="91"/>
      <c r="M89" s="92" t="s">
        <v>125</v>
      </c>
      <c r="N89" s="92" t="s">
        <v>1711</v>
      </c>
      <c r="O89" s="93">
        <v>0</v>
      </c>
      <c r="P89" s="86" t="s">
        <v>129</v>
      </c>
      <c r="Q89" s="82">
        <f t="shared" si="20"/>
        <v>2</v>
      </c>
      <c r="R89" s="151"/>
    </row>
    <row r="90" spans="1:65" ht="20.25" customHeight="1">
      <c r="A90" s="85">
        <v>45417</v>
      </c>
      <c r="B90" s="152">
        <v>505037</v>
      </c>
      <c r="C90" s="86" t="s">
        <v>6</v>
      </c>
      <c r="D90" s="87">
        <v>4892210203441</v>
      </c>
      <c r="E90" s="88" t="str">
        <f>IFERROR(VLOOKUP(D90,ProductMaster!$A:$B,2,FALSE),"")</f>
        <v>016141004</v>
      </c>
      <c r="F90" s="88" t="str">
        <f>IFERROR(VLOOKUP(D90,ProductMaster!$A:$C,3,FALSE),"")</f>
        <v>IR PL250</v>
      </c>
      <c r="G90" s="89" t="str">
        <f>IFERROR(VLOOKUP($D90,ProductMaster!$A:$O,4,FALSE),"")</f>
        <v>ไฟฉายปากกา แบบชาร์จไฟได้ 250 ลูเมน</v>
      </c>
      <c r="H90" s="90">
        <v>1</v>
      </c>
      <c r="I90" s="123">
        <f>IFERROR(VLOOKUP(E90,ProductMaster!B:G,6,FALSE),0)</f>
        <v>2138.3177570093458</v>
      </c>
      <c r="J90" s="123">
        <f t="shared" si="21"/>
        <v>149.68</v>
      </c>
      <c r="K90" s="123">
        <f t="shared" si="24"/>
        <v>2138.3200000000002</v>
      </c>
      <c r="L90" s="91"/>
      <c r="M90" s="92" t="s">
        <v>123</v>
      </c>
      <c r="N90" s="92" t="s">
        <v>1711</v>
      </c>
      <c r="O90" s="93">
        <v>0</v>
      </c>
      <c r="P90" s="86" t="s">
        <v>129</v>
      </c>
      <c r="Q90" s="82">
        <f t="shared" si="20"/>
        <v>1</v>
      </c>
      <c r="R90" s="151"/>
    </row>
    <row r="91" spans="1:65" ht="20.25" customHeight="1">
      <c r="A91" s="85">
        <v>45417</v>
      </c>
      <c r="B91" s="152">
        <v>505038</v>
      </c>
      <c r="C91" s="86" t="s">
        <v>6</v>
      </c>
      <c r="D91" s="87">
        <v>45242082858</v>
      </c>
      <c r="E91" s="88" t="str">
        <f>IFERROR(VLOOKUP(D91,ProductMaster!$A:$B,2,FALSE),"")</f>
        <v>129221228</v>
      </c>
      <c r="F91" s="88" t="str">
        <f>IFERROR(VLOOKUP(D91,ProductMaster!$A:$C,3,FALSE),"")</f>
        <v>48-00-5184</v>
      </c>
      <c r="G91" s="89" t="str">
        <f>IFERROR(VLOOKUP($D91,ProductMaster!$A:$O,4,FALSE),"")</f>
        <v>ใบเลื่อยซอว์ซอลตัดเหล็ก 6"  Thin Kerf 18 TPI (5ใบ)</v>
      </c>
      <c r="H91" s="90">
        <v>1</v>
      </c>
      <c r="I91" s="123">
        <f>IFERROR(VLOOKUP(E91,ProductMaster!B:G,6,FALSE),0)</f>
        <v>418.69158878504675</v>
      </c>
      <c r="J91" s="123">
        <f t="shared" si="21"/>
        <v>29.31</v>
      </c>
      <c r="K91" s="123">
        <f t="shared" si="24"/>
        <v>418.69</v>
      </c>
      <c r="L91" s="91"/>
      <c r="M91" s="92" t="s">
        <v>127</v>
      </c>
      <c r="N91" s="92" t="s">
        <v>1711</v>
      </c>
      <c r="O91" s="93">
        <v>0</v>
      </c>
      <c r="P91" s="86" t="s">
        <v>129</v>
      </c>
      <c r="Q91" s="82">
        <f t="shared" si="20"/>
        <v>1</v>
      </c>
    </row>
    <row r="92" spans="1:65" ht="20.25" customHeight="1">
      <c r="A92" s="85">
        <v>45417</v>
      </c>
      <c r="B92" s="152">
        <v>505039</v>
      </c>
      <c r="C92" s="86" t="s">
        <v>1887</v>
      </c>
      <c r="D92" s="87">
        <v>4892210174987</v>
      </c>
      <c r="E92" s="88" t="str">
        <f>IFERROR(VLOOKUP(D92,ProductMaster!$A:$B,2,FALSE),"")</f>
        <v>018252007</v>
      </c>
      <c r="F92" s="88" t="str">
        <f>IFERROR(VLOOKUP(D92,ProductMaster!$A:$C,3,FALSE),"")</f>
        <v>M12 BPRT-0C</v>
      </c>
      <c r="G92" s="89" t="str">
        <f>IFERROR(VLOOKUP($D92,ProductMaster!$A:$O,4,FALSE),"")</f>
        <v>เครื่องยิงรีเวทไร้สาย 12 โวลต์ (เครื่องเปล่า)</v>
      </c>
      <c r="H92" s="90">
        <v>1</v>
      </c>
      <c r="I92" s="123">
        <f>IFERROR(VLOOKUP(E92,ProductMaster!B:G,6,FALSE),0)</f>
        <v>6811.2149532710282</v>
      </c>
      <c r="J92" s="123">
        <f t="shared" si="21"/>
        <v>476.79</v>
      </c>
      <c r="K92" s="123">
        <f t="shared" si="24"/>
        <v>6811.21</v>
      </c>
      <c r="L92" s="91"/>
      <c r="M92" s="92" t="s">
        <v>123</v>
      </c>
      <c r="N92" s="92" t="s">
        <v>1711</v>
      </c>
      <c r="O92" s="93">
        <v>0</v>
      </c>
      <c r="P92" s="86" t="s">
        <v>1709</v>
      </c>
      <c r="Q92" s="82">
        <f t="shared" si="20"/>
        <v>1</v>
      </c>
    </row>
    <row r="93" spans="1:65" s="171" customFormat="1" ht="20.25" customHeight="1">
      <c r="A93" s="85">
        <v>45417</v>
      </c>
      <c r="B93" s="152">
        <v>505039</v>
      </c>
      <c r="C93" s="86" t="s">
        <v>1887</v>
      </c>
      <c r="D93" s="161" t="s">
        <v>1671</v>
      </c>
      <c r="E93" s="162" t="str">
        <f>IFERROR(VLOOKUP(D93,ProductMaster!$A:$B,2,FALSE),"")</f>
        <v>001997033-(BF)</v>
      </c>
      <c r="F93" s="162" t="str">
        <f>IFERROR(VLOOKUP(D93,ProductMaster!$A:$C,3,FALSE),"")</f>
        <v>M12HB5-(BF)</v>
      </c>
      <c r="G93" s="163" t="str">
        <f>IFERROR(VLOOKUP($D93,ProductMaster!$A:$O,4,FALSE),"")</f>
        <v>แบตเตอรี่ 12 โวลต์ 5.0 แอมป์อาว HIGH OUTPUT</v>
      </c>
      <c r="H93" s="90">
        <v>1</v>
      </c>
      <c r="I93" s="165">
        <f>IFERROR(VLOOKUP(E93,ProductMaster!B:G,6,FALSE),0)</f>
        <v>1485.981308411215</v>
      </c>
      <c r="J93" s="165">
        <f t="shared" si="21"/>
        <v>104.02</v>
      </c>
      <c r="K93" s="165">
        <f t="shared" si="24"/>
        <v>1485.98</v>
      </c>
      <c r="L93" s="166"/>
      <c r="M93" s="92" t="s">
        <v>123</v>
      </c>
      <c r="N93" s="167" t="s">
        <v>1711</v>
      </c>
      <c r="O93" s="168">
        <v>0</v>
      </c>
      <c r="P93" s="86" t="s">
        <v>1709</v>
      </c>
      <c r="Q93" s="169">
        <f t="shared" si="20"/>
        <v>2</v>
      </c>
      <c r="R93" s="170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</row>
    <row r="94" spans="1:65" ht="20.25" customHeight="1">
      <c r="A94" s="85">
        <v>45417</v>
      </c>
      <c r="B94" s="152">
        <v>505039</v>
      </c>
      <c r="C94" s="86" t="s">
        <v>1887</v>
      </c>
      <c r="D94" s="87" t="s">
        <v>1638</v>
      </c>
      <c r="E94" s="88" t="str">
        <f>IFERROR(VLOOKUP(D94,ProductMaster!$A:$B,2,FALSE),"")</f>
        <v>000138153-(BF)</v>
      </c>
      <c r="F94" s="88" t="str">
        <f>IFERROR(VLOOKUP(D94,ProductMaster!$A:$C,3,FALSE),"")</f>
        <v>C12CSA-(BF)</v>
      </c>
      <c r="G94" s="89" t="str">
        <f>IFERROR(VLOOKUP($D94,ProductMaster!$A:$O,4,FALSE),"")</f>
        <v>แท่นชาร์จแบตเตอรี่ 12 โวลต์</v>
      </c>
      <c r="H94" s="90">
        <v>1</v>
      </c>
      <c r="I94" s="123">
        <f>IFERROR(VLOOKUP(E94,ProductMaster!B:G,6,FALSE),0)</f>
        <v>925.23364485981313</v>
      </c>
      <c r="J94" s="123">
        <f t="shared" si="21"/>
        <v>64.77</v>
      </c>
      <c r="K94" s="123">
        <f t="shared" si="24"/>
        <v>925.23</v>
      </c>
      <c r="L94" s="91"/>
      <c r="M94" s="92" t="s">
        <v>123</v>
      </c>
      <c r="N94" s="92" t="s">
        <v>1711</v>
      </c>
      <c r="O94" s="93">
        <v>0</v>
      </c>
      <c r="P94" s="86" t="s">
        <v>1709</v>
      </c>
      <c r="Q94" s="82">
        <f t="shared" si="20"/>
        <v>3</v>
      </c>
    </row>
    <row r="95" spans="1:65" ht="20.25" customHeight="1">
      <c r="A95" s="85">
        <v>45417</v>
      </c>
      <c r="B95" s="152">
        <v>505039</v>
      </c>
      <c r="C95" s="86" t="s">
        <v>1887</v>
      </c>
      <c r="D95" s="87">
        <v>45242324996</v>
      </c>
      <c r="E95" s="88" t="str">
        <f>IFERROR(VLOOKUP(D95,ProductMaster!$A:$B,2,FALSE),"")</f>
        <v>006033706</v>
      </c>
      <c r="F95" s="88" t="str">
        <f>IFERROR(VLOOKUP(D95,ProductMaster!$A:$C,3,FALSE),"")</f>
        <v>48-22-3510</v>
      </c>
      <c r="G95" s="89" t="str">
        <f>IFERROR(VLOOKUP($D95,ProductMaster!$A:$O,4,FALSE),"")</f>
        <v>คีมล็อคปากตรง 10"</v>
      </c>
      <c r="H95" s="90">
        <v>1</v>
      </c>
      <c r="I95" s="123">
        <f>IFERROR(VLOOKUP(E95,ProductMaster!B:G,6,FALSE),0)</f>
        <v>586.91588785046724</v>
      </c>
      <c r="J95" s="123">
        <f t="shared" si="21"/>
        <v>41.08</v>
      </c>
      <c r="K95" s="123">
        <f t="shared" si="24"/>
        <v>586.91999999999996</v>
      </c>
      <c r="L95" s="148"/>
      <c r="M95" s="92" t="s">
        <v>123</v>
      </c>
      <c r="N95" s="92" t="s">
        <v>1711</v>
      </c>
      <c r="O95" s="93">
        <v>0</v>
      </c>
      <c r="P95" s="86" t="s">
        <v>1709</v>
      </c>
      <c r="Q95" s="82">
        <f t="shared" si="20"/>
        <v>4</v>
      </c>
    </row>
    <row r="96" spans="1:65" ht="20.25" customHeight="1">
      <c r="A96" s="85">
        <v>45417</v>
      </c>
      <c r="B96" s="152">
        <v>505040</v>
      </c>
      <c r="C96" s="86" t="s">
        <v>6</v>
      </c>
      <c r="D96" s="87">
        <v>45242479887</v>
      </c>
      <c r="E96" s="88" t="str">
        <f>IFERROR(VLOOKUP(D96,ProductMaster!$A:$B,2,FALSE),"")</f>
        <v>006059112</v>
      </c>
      <c r="F96" s="88" t="str">
        <f>IFERROR(VLOOKUP(D96,ProductMaster!$A:$C,3,FALSE),"")</f>
        <v>48-22-8722</v>
      </c>
      <c r="G96" s="89" t="str">
        <f>IFERROR(VLOOKUP($D96,ProductMaster!$A:$O,4,FALSE),"")</f>
        <v xml:space="preserve">ถุงมือ General Purpose Gloves - L </v>
      </c>
      <c r="H96" s="90">
        <v>1</v>
      </c>
      <c r="I96" s="123">
        <f>IFERROR(VLOOKUP(E96,ProductMaster!B:G,6,FALSE),0)</f>
        <v>642.99065420560748</v>
      </c>
      <c r="J96" s="123">
        <f t="shared" si="21"/>
        <v>45.01</v>
      </c>
      <c r="K96" s="123">
        <f t="shared" si="24"/>
        <v>642.99</v>
      </c>
      <c r="L96" s="91"/>
      <c r="M96" s="92" t="s">
        <v>127</v>
      </c>
      <c r="N96" s="92" t="s">
        <v>1711</v>
      </c>
      <c r="O96" s="93">
        <v>0</v>
      </c>
      <c r="P96" s="86" t="s">
        <v>129</v>
      </c>
      <c r="Q96" s="82">
        <f t="shared" si="20"/>
        <v>1</v>
      </c>
    </row>
    <row r="97" spans="1:65" s="171" customFormat="1" ht="20.25" customHeight="1">
      <c r="A97" s="158">
        <v>45417</v>
      </c>
      <c r="B97" s="159">
        <v>505041</v>
      </c>
      <c r="C97" s="160" t="s">
        <v>1882</v>
      </c>
      <c r="D97" s="161">
        <v>45242645701</v>
      </c>
      <c r="E97" s="162" t="str">
        <f>IFERROR(VLOOKUP(D97,ProductMaster!$A:$B,2,FALSE),"")</f>
        <v>006157301</v>
      </c>
      <c r="F97" s="162" t="str">
        <f>IFERROR(VLOOKUP(D97,ProductMaster!$A:$C,3,FALSE),"")</f>
        <v>48-22-2184</v>
      </c>
      <c r="G97" s="163" t="str">
        <f>IFERROR(VLOOKUP($D97,ProductMaster!$A:$O,4,FALSE),"")</f>
        <v>ประแจหกเหลี่ยมหัวทอร์คแบบพับเก็บ 8 ชิ้น</v>
      </c>
      <c r="H97" s="164">
        <v>1</v>
      </c>
      <c r="I97" s="165">
        <f>IFERROR(VLOOKUP(E97,ProductMaster!B:G,6,FALSE),0)</f>
        <v>549.53271028037386</v>
      </c>
      <c r="J97" s="165">
        <f t="shared" si="21"/>
        <v>38.47</v>
      </c>
      <c r="K97" s="165">
        <f t="shared" si="24"/>
        <v>549.53</v>
      </c>
      <c r="L97" s="166"/>
      <c r="M97" s="167" t="s">
        <v>127</v>
      </c>
      <c r="N97" s="167" t="s">
        <v>1711</v>
      </c>
      <c r="O97" s="168">
        <v>0</v>
      </c>
      <c r="P97" s="160" t="s">
        <v>1709</v>
      </c>
      <c r="Q97" s="169">
        <f t="shared" si="20"/>
        <v>1</v>
      </c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</row>
    <row r="98" spans="1:65" ht="20.25" customHeight="1">
      <c r="A98" s="85">
        <v>45417</v>
      </c>
      <c r="B98" s="152">
        <v>505041</v>
      </c>
      <c r="C98" s="86" t="s">
        <v>1882</v>
      </c>
      <c r="D98" s="87">
        <v>45242342211</v>
      </c>
      <c r="E98" s="88" t="str">
        <f>IFERROR(VLOOKUP(D98,ProductMaster!$A:$B,2,FALSE),"")</f>
        <v>006037401</v>
      </c>
      <c r="F98" s="88" t="str">
        <f>IFERROR(VLOOKUP(D98,ProductMaster!$A:$C,3,FALSE),"")</f>
        <v>48-22-6101</v>
      </c>
      <c r="G98" s="89" t="str">
        <f>IFERROR(VLOOKUP($D98,ProductMaster!$A:$O,4,FALSE),"")</f>
        <v>คีมปากแหลม 8"</v>
      </c>
      <c r="H98" s="90">
        <v>1</v>
      </c>
      <c r="I98" s="123">
        <f>IFERROR(VLOOKUP(E98,ProductMaster!B:G,6,FALSE),0)</f>
        <v>661.68224299065423</v>
      </c>
      <c r="J98" s="123">
        <f t="shared" si="21"/>
        <v>46.32</v>
      </c>
      <c r="K98" s="123">
        <f t="shared" si="24"/>
        <v>661.68</v>
      </c>
      <c r="L98" s="91"/>
      <c r="M98" s="92" t="s">
        <v>127</v>
      </c>
      <c r="N98" s="92" t="s">
        <v>1711</v>
      </c>
      <c r="O98" s="93">
        <v>0</v>
      </c>
      <c r="P98" s="86" t="s">
        <v>1709</v>
      </c>
      <c r="Q98" s="82">
        <f t="shared" si="20"/>
        <v>2</v>
      </c>
    </row>
    <row r="99" spans="1:65" ht="20.25" customHeight="1">
      <c r="A99" s="85">
        <v>45417</v>
      </c>
      <c r="B99" s="152">
        <v>505041</v>
      </c>
      <c r="C99" s="86" t="s">
        <v>1882</v>
      </c>
      <c r="D99" s="87">
        <v>45242356089</v>
      </c>
      <c r="E99" s="88" t="str">
        <f>IFERROR(VLOOKUP(D99,ProductMaster!$A:$B,2,FALSE),"")</f>
        <v>006051101</v>
      </c>
      <c r="F99" s="88" t="str">
        <f>IFERROR(VLOOKUP(D99,ProductMaster!$A:$C,3,FALSE),"")</f>
        <v>48-22-6102</v>
      </c>
      <c r="G99" s="89" t="str">
        <f>IFERROR(VLOOKUP($D99,ProductMaster!$A:$O,4,FALSE),"")</f>
        <v>คีมปากจิ้งจก</v>
      </c>
      <c r="H99" s="90">
        <v>1</v>
      </c>
      <c r="I99" s="123">
        <f>IFERROR(VLOOKUP(E99,ProductMaster!B:G,6,FALSE),0)</f>
        <v>792.52336448598135</v>
      </c>
      <c r="J99" s="123">
        <f t="shared" si="21"/>
        <v>55.48</v>
      </c>
      <c r="K99" s="123">
        <f t="shared" si="24"/>
        <v>792.52</v>
      </c>
      <c r="L99" s="91"/>
      <c r="M99" s="92" t="s">
        <v>127</v>
      </c>
      <c r="N99" s="92" t="s">
        <v>1711</v>
      </c>
      <c r="O99" s="93">
        <v>0</v>
      </c>
      <c r="P99" s="86" t="s">
        <v>1709</v>
      </c>
      <c r="Q99" s="82">
        <f t="shared" si="20"/>
        <v>3</v>
      </c>
    </row>
    <row r="100" spans="1:65" ht="20.25" customHeight="1">
      <c r="A100" s="85">
        <v>45417</v>
      </c>
      <c r="B100" s="152">
        <v>505041</v>
      </c>
      <c r="C100" s="86" t="s">
        <v>1882</v>
      </c>
      <c r="D100" s="87">
        <v>45242638796</v>
      </c>
      <c r="E100" s="88" t="str">
        <f>IFERROR(VLOOKUP(D100,ProductMaster!$A:$B,2,FALSE),"")</f>
        <v>006143201</v>
      </c>
      <c r="F100" s="88" t="str">
        <f>IFERROR(VLOOKUP(D100,ProductMaster!$A:$C,3,FALSE),"")</f>
        <v>48-22-0307</v>
      </c>
      <c r="G100" s="89" t="str">
        <f>IFERROR(VLOOKUP($D100,ProductMaster!$A:$O,4,FALSE),"")</f>
        <v>เลื่อยอเนกประสงค์แบบพับ</v>
      </c>
      <c r="H100" s="90">
        <v>1</v>
      </c>
      <c r="I100" s="123">
        <f>IFERROR(VLOOKUP(E100,ProductMaster!B:G,6,FALSE),0)</f>
        <v>829.90654205607473</v>
      </c>
      <c r="J100" s="123">
        <f t="shared" si="21"/>
        <v>58.09</v>
      </c>
      <c r="K100" s="123">
        <f t="shared" si="24"/>
        <v>829.91</v>
      </c>
      <c r="L100" s="91"/>
      <c r="M100" s="92" t="s">
        <v>127</v>
      </c>
      <c r="N100" s="92" t="s">
        <v>1711</v>
      </c>
      <c r="O100" s="93">
        <v>0</v>
      </c>
      <c r="P100" s="86" t="s">
        <v>1709</v>
      </c>
      <c r="Q100" s="82">
        <f t="shared" si="20"/>
        <v>4</v>
      </c>
    </row>
    <row r="101" spans="1:65" ht="20.25" customHeight="1">
      <c r="A101" s="85">
        <v>45417</v>
      </c>
      <c r="B101" s="152">
        <v>505041</v>
      </c>
      <c r="C101" s="86" t="s">
        <v>1882</v>
      </c>
      <c r="D101" s="87">
        <v>6951662505782</v>
      </c>
      <c r="E101" s="88" t="str">
        <f>IFERROR(VLOOKUP(D101,ProductMaster!$A:$B,2,FALSE),"")</f>
        <v>002092010</v>
      </c>
      <c r="F101" s="88" t="str">
        <f>IFERROR(VLOOKUP(D101,ProductMaster!$A:$C,3,FALSE),"")</f>
        <v>M12-18C3</v>
      </c>
      <c r="G101" s="89" t="str">
        <f>IFERROR(VLOOKUP($D101,ProductMaster!$A:$O,4,FALSE),"")</f>
        <v>แท่นชาร์จแบตเตอรี่ 12-18 โวลต์ แบบชาร์จเร็ว 6 ช่อง</v>
      </c>
      <c r="H101" s="90">
        <v>1</v>
      </c>
      <c r="I101" s="123">
        <f>IFERROR(VLOOKUP(E101,ProductMaster!B:G,6,FALSE),0)</f>
        <v>6904.6728971962621</v>
      </c>
      <c r="J101" s="123">
        <f t="shared" si="21"/>
        <v>483.33</v>
      </c>
      <c r="K101" s="123">
        <f t="shared" si="24"/>
        <v>6904.67</v>
      </c>
      <c r="L101" s="91"/>
      <c r="M101" s="92" t="s">
        <v>127</v>
      </c>
      <c r="N101" s="92" t="s">
        <v>1711</v>
      </c>
      <c r="O101" s="93">
        <v>0</v>
      </c>
      <c r="P101" s="86" t="s">
        <v>1709</v>
      </c>
      <c r="Q101" s="82">
        <f t="shared" si="20"/>
        <v>5</v>
      </c>
    </row>
    <row r="102" spans="1:65" ht="20.25" customHeight="1">
      <c r="A102" s="85">
        <v>45417</v>
      </c>
      <c r="B102" s="152">
        <v>505041</v>
      </c>
      <c r="C102" s="86" t="s">
        <v>1882</v>
      </c>
      <c r="D102" s="87">
        <v>4892210240033</v>
      </c>
      <c r="E102" s="88" t="str">
        <f>IFERROR(VLOOKUP(D102,ProductMaster!$A:$B,2,FALSE),"")</f>
        <v>059600307</v>
      </c>
      <c r="F102" s="88" t="str">
        <f>IFERROR(VLOOKUP(D102,ProductMaster!$A:$C,3,FALSE),"")</f>
        <v>M18 FPP2AC3-502LR SA</v>
      </c>
      <c r="G102" s="89" t="str">
        <f>IFERROR(VLOOKUP($D102,ProductMaster!$A:$O,4,FALSE),"")</f>
        <v>M18 FPP2AC3-502LR SA (ชุดคอมโบสำหรับช่างไฟ)</v>
      </c>
      <c r="H102" s="90">
        <v>1</v>
      </c>
      <c r="I102" s="123">
        <f>IFERROR(VLOOKUP(E102,ProductMaster!B:G,6,FALSE),0)</f>
        <v>17652.336448598129</v>
      </c>
      <c r="J102" s="123">
        <f t="shared" si="21"/>
        <v>1235.6600000000001</v>
      </c>
      <c r="K102" s="123">
        <f t="shared" si="24"/>
        <v>17652.34</v>
      </c>
      <c r="L102" s="91"/>
      <c r="M102" s="92" t="s">
        <v>127</v>
      </c>
      <c r="N102" s="92" t="s">
        <v>1711</v>
      </c>
      <c r="O102" s="93">
        <v>0</v>
      </c>
      <c r="P102" s="86" t="s">
        <v>1709</v>
      </c>
      <c r="Q102" s="82">
        <f t="shared" si="20"/>
        <v>6</v>
      </c>
    </row>
    <row r="103" spans="1:65" ht="20.25" customHeight="1">
      <c r="A103" s="85">
        <v>45417</v>
      </c>
      <c r="B103" s="152">
        <v>505041</v>
      </c>
      <c r="C103" s="86" t="s">
        <v>1882</v>
      </c>
      <c r="D103" s="87">
        <v>4892210198334</v>
      </c>
      <c r="E103" s="88" t="str">
        <f>IFERROR(VLOOKUP(D103,ProductMaster!$A:$B,2,FALSE),"")</f>
        <v>006912604</v>
      </c>
      <c r="F103" s="88" t="str">
        <f>IFERROR(VLOOKUP(D103,ProductMaster!$A:$C,3,FALSE),"")</f>
        <v>M12 CLLP-0C ASIA</v>
      </c>
      <c r="G103" s="89" t="str">
        <f>IFERROR(VLOOKUP($D103,ProductMaster!$A:$O,4,FALSE),"")</f>
        <v>เลเซอร์วัดระดับและวางแนวดิ่ง (เครื่องเปล่า)</v>
      </c>
      <c r="H103" s="90">
        <v>1</v>
      </c>
      <c r="I103" s="123">
        <f>IFERROR(VLOOKUP(E103,ProductMaster!B:G,6,FALSE),0)</f>
        <v>15783.177570093458</v>
      </c>
      <c r="J103" s="123">
        <f t="shared" si="21"/>
        <v>1104.82</v>
      </c>
      <c r="K103" s="123">
        <f t="shared" si="24"/>
        <v>15783.18</v>
      </c>
      <c r="L103" s="91"/>
      <c r="M103" s="92" t="s">
        <v>127</v>
      </c>
      <c r="N103" s="92" t="s">
        <v>1711</v>
      </c>
      <c r="O103" s="93">
        <v>0</v>
      </c>
      <c r="P103" s="86" t="s">
        <v>1709</v>
      </c>
      <c r="Q103" s="82">
        <f t="shared" si="20"/>
        <v>7</v>
      </c>
      <c r="R103" s="151"/>
    </row>
    <row r="104" spans="1:65" s="171" customFormat="1" ht="20.25" customHeight="1">
      <c r="A104" s="158">
        <v>45417</v>
      </c>
      <c r="B104" s="159">
        <v>505041</v>
      </c>
      <c r="C104" s="86" t="s">
        <v>1882</v>
      </c>
      <c r="D104" s="161" t="s">
        <v>1671</v>
      </c>
      <c r="E104" s="162" t="str">
        <f>IFERROR(VLOOKUP(D104,ProductMaster!$A:$B,2,FALSE),"")</f>
        <v>001997033-(BF)</v>
      </c>
      <c r="F104" s="162" t="str">
        <f>IFERROR(VLOOKUP(D104,ProductMaster!$A:$C,3,FALSE),"")</f>
        <v>M12HB5-(BF)</v>
      </c>
      <c r="G104" s="163" t="str">
        <f>IFERROR(VLOOKUP($D104,ProductMaster!$A:$O,4,FALSE),"")</f>
        <v>แบตเตอรี่ 12 โวลต์ 5.0 แอมป์อาว HIGH OUTPUT</v>
      </c>
      <c r="H104" s="164">
        <v>3</v>
      </c>
      <c r="I104" s="165">
        <f>IFERROR(VLOOKUP(E104,ProductMaster!B:G,6,FALSE),0)</f>
        <v>1485.981308411215</v>
      </c>
      <c r="J104" s="165">
        <f t="shared" si="21"/>
        <v>104.02</v>
      </c>
      <c r="K104" s="165">
        <f t="shared" si="24"/>
        <v>4457.9399999999996</v>
      </c>
      <c r="L104" s="166"/>
      <c r="M104" s="167" t="s">
        <v>127</v>
      </c>
      <c r="N104" s="167" t="s">
        <v>1711</v>
      </c>
      <c r="O104" s="168">
        <v>0</v>
      </c>
      <c r="P104" s="86" t="s">
        <v>1709</v>
      </c>
      <c r="Q104" s="169">
        <f t="shared" si="20"/>
        <v>8</v>
      </c>
      <c r="R104" s="170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  <c r="BF104" s="169"/>
      <c r="BG104" s="169"/>
      <c r="BH104" s="169"/>
      <c r="BI104" s="169"/>
      <c r="BJ104" s="169"/>
      <c r="BK104" s="169"/>
      <c r="BL104" s="169"/>
      <c r="BM104" s="169"/>
    </row>
    <row r="105" spans="1:65" s="171" customFormat="1" ht="20.25" customHeight="1">
      <c r="A105" s="158">
        <v>45417</v>
      </c>
      <c r="B105" s="159">
        <v>505041</v>
      </c>
      <c r="C105" s="86" t="s">
        <v>1882</v>
      </c>
      <c r="D105" s="161">
        <v>45242505319</v>
      </c>
      <c r="E105" s="162" t="str">
        <f>IFERROR(VLOOKUP(D105,ProductMaster!$A:$B,2,FALSE),"")</f>
        <v>129305052</v>
      </c>
      <c r="F105" s="162" t="str">
        <f>IFERROR(VLOOKUP(D105,ProductMaster!$A:$C,3,FALSE),"")</f>
        <v>48-22-8430</v>
      </c>
      <c r="G105" s="163" t="str">
        <f>IFERROR(VLOOKUP($D105,ProductMaster!$A:$O,4,FALSE),"")</f>
        <v>กล่องเครื่องมือ PACKOUT ออแกนไนซ์เซอร์</v>
      </c>
      <c r="H105" s="164">
        <v>1</v>
      </c>
      <c r="I105" s="165">
        <f>IFERROR(VLOOKUP(E105,ProductMaster!B:G,6,FALSE),0)</f>
        <v>2512.1495327102803</v>
      </c>
      <c r="J105" s="165">
        <f t="shared" si="21"/>
        <v>175.85</v>
      </c>
      <c r="K105" s="165">
        <f t="shared" si="24"/>
        <v>2512.15</v>
      </c>
      <c r="L105" s="166"/>
      <c r="M105" s="167" t="s">
        <v>127</v>
      </c>
      <c r="N105" s="167" t="s">
        <v>1711</v>
      </c>
      <c r="O105" s="168">
        <v>0</v>
      </c>
      <c r="P105" s="86" t="s">
        <v>1709</v>
      </c>
      <c r="Q105" s="169">
        <f t="shared" si="20"/>
        <v>9</v>
      </c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  <c r="BF105" s="169"/>
      <c r="BG105" s="169"/>
      <c r="BH105" s="169"/>
      <c r="BI105" s="169"/>
      <c r="BJ105" s="169"/>
      <c r="BK105" s="169"/>
      <c r="BL105" s="169"/>
      <c r="BM105" s="169"/>
    </row>
    <row r="106" spans="1:65" s="171" customFormat="1" ht="20.25" customHeight="1">
      <c r="A106" s="158">
        <v>45417</v>
      </c>
      <c r="B106" s="159">
        <v>505041</v>
      </c>
      <c r="C106" s="86" t="s">
        <v>1882</v>
      </c>
      <c r="D106" s="87">
        <v>4892210220929</v>
      </c>
      <c r="E106" s="162" t="str">
        <f>IFERROR(VLOOKUP(D106,ProductMaster!$A:$B,2,FALSE),"")</f>
        <v>016088017</v>
      </c>
      <c r="F106" s="162" t="str">
        <f>IFERROR(VLOOKUP(D106,ProductMaster!$A:$C,3,FALSE),"")</f>
        <v>M12 BI-0 ASIA</v>
      </c>
      <c r="G106" s="163" t="str">
        <f>IFERROR(VLOOKUP($D106,ProductMaster!$A:$O,4,FALSE),"")</f>
        <v>เครื่องเติมลมไร้สาย 12 โวลต์ (เครื่องเปล่า)</v>
      </c>
      <c r="H106" s="164">
        <v>1</v>
      </c>
      <c r="I106" s="165">
        <f>IFERROR(VLOOKUP(E106,ProductMaster!B:G,6,FALSE),0)</f>
        <v>3633.6448598130842</v>
      </c>
      <c r="J106" s="165">
        <f t="shared" si="21"/>
        <v>254.36</v>
      </c>
      <c r="K106" s="165">
        <f t="shared" si="24"/>
        <v>3633.64</v>
      </c>
      <c r="L106" s="166"/>
      <c r="M106" s="167" t="s">
        <v>127</v>
      </c>
      <c r="N106" s="167" t="s">
        <v>1711</v>
      </c>
      <c r="O106" s="168">
        <v>0</v>
      </c>
      <c r="P106" s="86" t="s">
        <v>1709</v>
      </c>
      <c r="Q106" s="169">
        <f t="shared" si="20"/>
        <v>10</v>
      </c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69"/>
      <c r="BH106" s="169"/>
      <c r="BI106" s="169"/>
      <c r="BJ106" s="169"/>
      <c r="BK106" s="169"/>
      <c r="BL106" s="169"/>
      <c r="BM106" s="169"/>
    </row>
    <row r="107" spans="1:65" ht="20.25" customHeight="1">
      <c r="A107" s="85">
        <v>45417</v>
      </c>
      <c r="B107" s="159">
        <v>505041</v>
      </c>
      <c r="C107" s="86" t="s">
        <v>1882</v>
      </c>
      <c r="D107" s="87">
        <v>4892210135186</v>
      </c>
      <c r="E107" s="88" t="str">
        <f>IFERROR(VLOOKUP(D107,ProductMaster!$A:$B,2,FALSE),"")</f>
        <v>018109013</v>
      </c>
      <c r="F107" s="88" t="str">
        <f>IFERROR(VLOOKUP(D107,ProductMaster!$A:$C,3,FALSE),"")</f>
        <v>M12 BPS-0</v>
      </c>
      <c r="G107" s="89" t="str">
        <f>IFERROR(VLOOKUP($D107,ProductMaster!$A:$O,4,FALSE),"")</f>
        <v>เครื่องขัดไร้สาย 12 โวลต์ (เครื่องเปล่า)</v>
      </c>
      <c r="H107" s="90">
        <v>1</v>
      </c>
      <c r="I107" s="123">
        <f>IFERROR(VLOOKUP(E107,ProductMaster!B:G,6,FALSE),0)</f>
        <v>3166.3551401869158</v>
      </c>
      <c r="J107" s="123">
        <f t="shared" si="21"/>
        <v>221.64</v>
      </c>
      <c r="K107" s="123">
        <f t="shared" si="24"/>
        <v>3166.36</v>
      </c>
      <c r="L107" s="91"/>
      <c r="M107" s="92" t="s">
        <v>127</v>
      </c>
      <c r="N107" s="92" t="s">
        <v>1711</v>
      </c>
      <c r="O107" s="93">
        <v>0</v>
      </c>
      <c r="P107" s="86" t="s">
        <v>1709</v>
      </c>
      <c r="Q107" s="82">
        <f t="shared" si="20"/>
        <v>11</v>
      </c>
    </row>
    <row r="108" spans="1:65" ht="20.25" customHeight="1">
      <c r="A108" s="85">
        <v>45417</v>
      </c>
      <c r="B108" s="159">
        <v>505041</v>
      </c>
      <c r="C108" s="86" t="s">
        <v>1882</v>
      </c>
      <c r="D108" s="87">
        <v>45242568420</v>
      </c>
      <c r="E108" s="88" t="str">
        <f>IFERROR(VLOOKUP(D108,ProductMaster!$A:$B,2,FALSE),"")</f>
        <v>006913001</v>
      </c>
      <c r="F108" s="88" t="str">
        <f>IFERROR(VLOOKUP(D108,ProductMaster!$A:$C,3,FALSE),"")</f>
        <v>48-35-1411</v>
      </c>
      <c r="G108" s="89" t="str">
        <f>IFERROR(VLOOKUP($D108,ProductMaster!$A:$O,4,FALSE),"")</f>
        <v>ขาตั้งเลเซอร์ 180 เซนติเมตร</v>
      </c>
      <c r="H108" s="90">
        <v>1</v>
      </c>
      <c r="I108" s="123">
        <f>IFERROR(VLOOKUP(E108,ProductMaster!B:G,6,FALSE),0)</f>
        <v>2390.6542056074768</v>
      </c>
      <c r="J108" s="123">
        <f t="shared" si="21"/>
        <v>167.35</v>
      </c>
      <c r="K108" s="123">
        <f t="shared" si="24"/>
        <v>2390.65</v>
      </c>
      <c r="L108" s="91"/>
      <c r="M108" s="92" t="s">
        <v>1717</v>
      </c>
      <c r="N108" s="92" t="s">
        <v>1711</v>
      </c>
      <c r="O108" s="93">
        <v>0</v>
      </c>
      <c r="P108" s="86" t="s">
        <v>1709</v>
      </c>
      <c r="Q108" s="82">
        <f t="shared" si="20"/>
        <v>12</v>
      </c>
    </row>
    <row r="109" spans="1:65" ht="20.25" customHeight="1">
      <c r="A109" s="85">
        <v>45417</v>
      </c>
      <c r="B109" s="159">
        <v>505041</v>
      </c>
      <c r="C109" s="86" t="s">
        <v>1882</v>
      </c>
      <c r="D109" s="87">
        <v>45242342181</v>
      </c>
      <c r="E109" s="88" t="str">
        <f>IFERROR(VLOOKUP(D109,ProductMaster!$A:$B,2,FALSE),"")</f>
        <v>006037501</v>
      </c>
      <c r="F109" s="88" t="str">
        <f>IFERROR(VLOOKUP(D109,ProductMaster!$A:$C,3,FALSE),"")</f>
        <v>48-22-6106</v>
      </c>
      <c r="G109" s="89" t="str">
        <f>IFERROR(VLOOKUP($D109,ProductMaster!$A:$O,4,FALSE),"")</f>
        <v>คีมตัดปากเฉียง 6"</v>
      </c>
      <c r="H109" s="90">
        <v>1</v>
      </c>
      <c r="I109" s="123">
        <f>IFERROR(VLOOKUP(E109,ProductMaster!B:G,6,FALSE),0)</f>
        <v>605.60747663551399</v>
      </c>
      <c r="J109" s="123">
        <f t="shared" si="21"/>
        <v>42.39</v>
      </c>
      <c r="K109" s="123">
        <f t="shared" si="24"/>
        <v>605.61</v>
      </c>
      <c r="L109" s="91"/>
      <c r="M109" s="92" t="s">
        <v>127</v>
      </c>
      <c r="N109" s="92" t="s">
        <v>1711</v>
      </c>
      <c r="O109" s="93">
        <v>0</v>
      </c>
      <c r="P109" s="86" t="s">
        <v>1709</v>
      </c>
      <c r="Q109" s="82">
        <f t="shared" si="20"/>
        <v>13</v>
      </c>
    </row>
    <row r="110" spans="1:65" ht="20.25" customHeight="1">
      <c r="A110" s="85">
        <v>45417</v>
      </c>
      <c r="B110" s="159">
        <v>505041</v>
      </c>
      <c r="C110" s="86" t="s">
        <v>1882</v>
      </c>
      <c r="D110" s="87">
        <v>4892210222503</v>
      </c>
      <c r="E110" s="88" t="str">
        <f>IFERROR(VLOOKUP(D110,ProductMaster!$A:$B,2,FALSE),"")</f>
        <v>018655011</v>
      </c>
      <c r="F110" s="88" t="str">
        <f>IFERROR(VLOOKUP(D110,ProductMaster!$A:$C,3,FALSE),"")</f>
        <v>M18 F2BL-0</v>
      </c>
      <c r="G110" s="89" t="str">
        <f>IFERROR(VLOOKUP($D110,ProductMaster!$A:$O,4,FALSE),"")</f>
        <v>เครื่องเป่าใบไม้ไร้สาย 18 โวลต์ ระบบแบตเตอรี่คู่  (เครื่องเปล่า)</v>
      </c>
      <c r="H110" s="90">
        <v>1</v>
      </c>
      <c r="I110" s="123">
        <f>IFERROR(VLOOKUP(E110,ProductMaster!B:G,6,FALSE),0)</f>
        <v>9241.1214953271028</v>
      </c>
      <c r="J110" s="123">
        <f t="shared" si="21"/>
        <v>646.88</v>
      </c>
      <c r="K110" s="123">
        <f t="shared" si="24"/>
        <v>9241.1200000000008</v>
      </c>
      <c r="L110" s="91"/>
      <c r="M110" s="92" t="s">
        <v>1717</v>
      </c>
      <c r="N110" s="92" t="s">
        <v>1711</v>
      </c>
      <c r="O110" s="93">
        <v>0</v>
      </c>
      <c r="P110" s="86" t="s">
        <v>1709</v>
      </c>
      <c r="Q110" s="82">
        <f t="shared" si="20"/>
        <v>14</v>
      </c>
    </row>
    <row r="111" spans="1:65" s="171" customFormat="1" ht="20.25" customHeight="1">
      <c r="A111" s="158">
        <v>45417</v>
      </c>
      <c r="B111" s="159">
        <v>505042</v>
      </c>
      <c r="C111" s="160" t="s">
        <v>1890</v>
      </c>
      <c r="D111" s="161">
        <v>45242617999</v>
      </c>
      <c r="E111" s="162" t="str">
        <f>IFERROR(VLOOKUP(D111,ProductMaster!$A:$B,2,FALSE),"")</f>
        <v>076800013</v>
      </c>
      <c r="F111" s="162" t="str">
        <f>IFERROR(VLOOKUP(D111,ProductMaster!$A:$C,3,FALSE),"")</f>
        <v>48-22-8336</v>
      </c>
      <c r="G111" s="163" t="str">
        <f>IFERROR(VLOOKUP($D111,ProductMaster!$A:$O,4,FALSE),"")</f>
        <v>PACKOUT Cup Holder</v>
      </c>
      <c r="H111" s="164">
        <v>1</v>
      </c>
      <c r="I111" s="165">
        <f>IFERROR(VLOOKUP(E111,ProductMaster!B:G,6,FALSE),0)</f>
        <v>362.61682242990656</v>
      </c>
      <c r="J111" s="165">
        <f t="shared" si="21"/>
        <v>25.38</v>
      </c>
      <c r="K111" s="165">
        <f t="shared" si="24"/>
        <v>362.62</v>
      </c>
      <c r="L111" s="166"/>
      <c r="M111" s="167" t="s">
        <v>127</v>
      </c>
      <c r="N111" s="167" t="s">
        <v>1711</v>
      </c>
      <c r="O111" s="168">
        <v>0</v>
      </c>
      <c r="P111" s="160" t="s">
        <v>1709</v>
      </c>
      <c r="Q111" s="169">
        <f t="shared" si="20"/>
        <v>1</v>
      </c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69"/>
      <c r="BM111" s="169"/>
    </row>
    <row r="112" spans="1:65" s="171" customFormat="1" ht="20.25" customHeight="1">
      <c r="A112" s="158">
        <v>45417</v>
      </c>
      <c r="B112" s="159">
        <v>505042</v>
      </c>
      <c r="C112" s="160" t="s">
        <v>1890</v>
      </c>
      <c r="D112" s="161">
        <v>45242617586</v>
      </c>
      <c r="E112" s="162" t="str">
        <f>IFERROR(VLOOKUP(D112,ProductMaster!$A:$B,2,FALSE),"")</f>
        <v>129305990</v>
      </c>
      <c r="F112" s="162" t="str">
        <f>IFERROR(VLOOKUP(D112,ProductMaster!$A:$C,3,FALSE),"")</f>
        <v>48-22-8487</v>
      </c>
      <c r="G112" s="163" t="str">
        <f>IFERROR(VLOOKUP($D112,ProductMaster!$A:$O,4,FALSE),"")</f>
        <v>PACKOUT Large Mounting Plate</v>
      </c>
      <c r="H112" s="164">
        <v>1</v>
      </c>
      <c r="I112" s="165">
        <f>IFERROR(VLOOKUP(E112,ProductMaster!B:G,6,FALSE),0)</f>
        <v>2138.3177570093458</v>
      </c>
      <c r="J112" s="165">
        <f t="shared" si="21"/>
        <v>149.68</v>
      </c>
      <c r="K112" s="165">
        <f t="shared" si="24"/>
        <v>2138.3200000000002</v>
      </c>
      <c r="L112" s="166"/>
      <c r="M112" s="167" t="s">
        <v>127</v>
      </c>
      <c r="N112" s="167" t="s">
        <v>1711</v>
      </c>
      <c r="O112" s="168">
        <v>0</v>
      </c>
      <c r="P112" s="160" t="s">
        <v>1709</v>
      </c>
      <c r="Q112" s="169">
        <f t="shared" si="20"/>
        <v>2</v>
      </c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69"/>
      <c r="BM112" s="169"/>
    </row>
    <row r="113" spans="1:65" s="171" customFormat="1" ht="20.25" customHeight="1">
      <c r="A113" s="158">
        <v>45417</v>
      </c>
      <c r="B113" s="159">
        <v>505042</v>
      </c>
      <c r="C113" s="160" t="s">
        <v>1890</v>
      </c>
      <c r="D113" s="161">
        <v>45242543847</v>
      </c>
      <c r="E113" s="162" t="str">
        <f>IFERROR(VLOOKUP(D113,ProductMaster!$A:$B,2,FALSE),"")</f>
        <v>129305469</v>
      </c>
      <c r="F113" s="162" t="str">
        <f>IFERROR(VLOOKUP(D113,ProductMaster!$A:$C,3,FALSE),"")</f>
        <v>48-22-8422</v>
      </c>
      <c r="G113" s="163" t="str">
        <f>IFERROR(VLOOKUP($D113,ProductMaster!$A:$O,4,FALSE),"")</f>
        <v>กล่องเครื่องมือคอมแพ็ค PACKOUT</v>
      </c>
      <c r="H113" s="164">
        <v>1</v>
      </c>
      <c r="I113" s="165">
        <f>IFERROR(VLOOKUP(E113,ProductMaster!B:G,6,FALSE),0)</f>
        <v>3540.1869158878503</v>
      </c>
      <c r="J113" s="165">
        <f t="shared" si="21"/>
        <v>247.81</v>
      </c>
      <c r="K113" s="165">
        <f t="shared" si="24"/>
        <v>3540.19</v>
      </c>
      <c r="L113" s="166"/>
      <c r="M113" s="167" t="s">
        <v>127</v>
      </c>
      <c r="N113" s="167" t="s">
        <v>1711</v>
      </c>
      <c r="O113" s="168">
        <v>0</v>
      </c>
      <c r="P113" s="160" t="s">
        <v>1709</v>
      </c>
      <c r="Q113" s="169">
        <f t="shared" si="20"/>
        <v>3</v>
      </c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  <c r="BE113" s="169"/>
      <c r="BF113" s="169"/>
      <c r="BG113" s="169"/>
      <c r="BH113" s="169"/>
      <c r="BI113" s="169"/>
      <c r="BJ113" s="169"/>
      <c r="BK113" s="169"/>
      <c r="BL113" s="169"/>
      <c r="BM113" s="169"/>
    </row>
    <row r="114" spans="1:65" s="171" customFormat="1" ht="20.25" customHeight="1">
      <c r="A114" s="158">
        <v>45417</v>
      </c>
      <c r="B114" s="159">
        <v>505042</v>
      </c>
      <c r="C114" s="160" t="s">
        <v>1890</v>
      </c>
      <c r="D114" s="161">
        <v>45242616329</v>
      </c>
      <c r="E114" s="162" t="str">
        <f>IFERROR(VLOOKUP(D114,ProductMaster!$A:$B,2,FALSE),"")</f>
        <v>006138401</v>
      </c>
      <c r="F114" s="162" t="str">
        <f>IFERROR(VLOOKUP(D114,ProductMaster!$A:$C,3,FALSE),"")</f>
        <v>48-22-8392R</v>
      </c>
      <c r="G114" s="163" t="str">
        <f>IFERROR(VLOOKUP($D114,ProductMaster!$A:$O,4,FALSE),"")</f>
        <v>แก้วเก็บความเย็น PACKOUT™  ขนาด 20 ออนซ์</v>
      </c>
      <c r="H114" s="164">
        <v>1</v>
      </c>
      <c r="I114" s="165">
        <f>IFERROR(VLOOKUP(E114,ProductMaster!B:G,6,FALSE),0)</f>
        <v>1110.2803738317757</v>
      </c>
      <c r="J114" s="165">
        <f t="shared" si="21"/>
        <v>77.72</v>
      </c>
      <c r="K114" s="165">
        <f t="shared" si="24"/>
        <v>1110.28</v>
      </c>
      <c r="L114" s="166"/>
      <c r="M114" s="167" t="s">
        <v>127</v>
      </c>
      <c r="N114" s="167" t="s">
        <v>1711</v>
      </c>
      <c r="O114" s="168">
        <v>0</v>
      </c>
      <c r="P114" s="160" t="s">
        <v>1709</v>
      </c>
      <c r="Q114" s="169">
        <f t="shared" si="20"/>
        <v>4</v>
      </c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  <c r="BF114" s="169"/>
      <c r="BG114" s="169"/>
      <c r="BH114" s="169"/>
      <c r="BI114" s="169"/>
      <c r="BJ114" s="169"/>
      <c r="BK114" s="169"/>
      <c r="BL114" s="169"/>
      <c r="BM114" s="169"/>
    </row>
    <row r="115" spans="1:65" ht="20.25" customHeight="1">
      <c r="A115" s="85">
        <v>45417</v>
      </c>
      <c r="B115" s="159">
        <v>505043</v>
      </c>
      <c r="C115" s="86" t="s">
        <v>6</v>
      </c>
      <c r="D115" s="87">
        <v>4892210183637</v>
      </c>
      <c r="E115" s="88" t="str">
        <f>IFERROR(VLOOKUP(D115,ProductMaster!$A:$B,2,FALSE),"")</f>
        <v>076002492</v>
      </c>
      <c r="F115" s="88" t="str">
        <f>IFERROR(VLOOKUP(D115,ProductMaster!$A:$C,3,FALSE),"")</f>
        <v>48-22-0616</v>
      </c>
      <c r="G115" s="89" t="str">
        <f>IFERROR(VLOOKUP($D115,ProductMaster!$A:$O,4,FALSE),"")</f>
        <v>ตลับเมตรรุ่น COMPACT MAGNETIC 5 เมตร/16 ฟุต</v>
      </c>
      <c r="H115" s="90">
        <v>1</v>
      </c>
      <c r="I115" s="123">
        <f>IFERROR(VLOOKUP(E115,ProductMaster!B:G,6,FALSE),0)</f>
        <v>633.64485981308417</v>
      </c>
      <c r="J115" s="123">
        <f t="shared" si="21"/>
        <v>44.36</v>
      </c>
      <c r="K115" s="123">
        <f t="shared" si="24"/>
        <v>633.64</v>
      </c>
      <c r="L115" s="91"/>
      <c r="M115" s="92" t="s">
        <v>127</v>
      </c>
      <c r="N115" s="92" t="s">
        <v>1711</v>
      </c>
      <c r="O115" s="93">
        <v>0</v>
      </c>
      <c r="P115" s="86" t="s">
        <v>129</v>
      </c>
      <c r="Q115" s="82">
        <f t="shared" si="20"/>
        <v>1</v>
      </c>
    </row>
    <row r="116" spans="1:65" ht="20.25" customHeight="1">
      <c r="A116" s="85">
        <v>45417</v>
      </c>
      <c r="B116" s="159">
        <v>505043</v>
      </c>
      <c r="C116" s="86" t="s">
        <v>6</v>
      </c>
      <c r="D116" s="87">
        <v>45242551453</v>
      </c>
      <c r="E116" s="88" t="str">
        <f>IFERROR(VLOOKUP(D116,ProductMaster!$A:$B,2,FALSE),"")</f>
        <v>006089001</v>
      </c>
      <c r="F116" s="88" t="str">
        <f>IFERROR(VLOOKUP(D116,ProductMaster!$A:$C,3,FALSE),"")</f>
        <v>48-22-1540</v>
      </c>
      <c r="G116" s="89" t="str">
        <f>IFERROR(VLOOKUP($D116,ProductMaster!$A:$O,4,FALSE),"")</f>
        <v xml:space="preserve">มีดพับ รุ่น FASTBACK™ 5 IN 1 </v>
      </c>
      <c r="H116" s="90">
        <v>1</v>
      </c>
      <c r="I116" s="123">
        <f>IFERROR(VLOOKUP(E116,ProductMaster!B:G,6,FALSE),0)</f>
        <v>951.40186915887853</v>
      </c>
      <c r="J116" s="123">
        <f t="shared" si="21"/>
        <v>66.599999999999994</v>
      </c>
      <c r="K116" s="123">
        <f t="shared" si="24"/>
        <v>951.4</v>
      </c>
      <c r="L116" s="91"/>
      <c r="M116" s="92" t="s">
        <v>127</v>
      </c>
      <c r="N116" s="92" t="s">
        <v>1711</v>
      </c>
      <c r="O116" s="93">
        <v>0</v>
      </c>
      <c r="P116" s="86" t="s">
        <v>129</v>
      </c>
      <c r="Q116" s="82">
        <f t="shared" si="20"/>
        <v>2</v>
      </c>
    </row>
    <row r="117" spans="1:65" ht="20.25" customHeight="1">
      <c r="A117" s="85">
        <v>45417</v>
      </c>
      <c r="B117" s="159">
        <v>505044</v>
      </c>
      <c r="C117" s="86" t="s">
        <v>6</v>
      </c>
      <c r="D117" s="87">
        <v>45242509171</v>
      </c>
      <c r="E117" s="88" t="str">
        <f>IFERROR(VLOOKUP(D117,ProductMaster!$A:$B,2,FALSE),"")</f>
        <v>006067501</v>
      </c>
      <c r="F117" s="88" t="str">
        <f>IFERROR(VLOOKUP(D117,ProductMaster!$A:$C,3,FALSE),"")</f>
        <v>48-22-8901</v>
      </c>
      <c r="G117" s="89" t="str">
        <f>IFERROR(VLOOKUP($D117,ProductMaster!$A:$O,4,FALSE),"")</f>
        <v xml:space="preserve">ถุงมือกันบาด Cut 1 Dipped Gloves - M </v>
      </c>
      <c r="H117" s="90">
        <v>1</v>
      </c>
      <c r="I117" s="123">
        <f>IFERROR(VLOOKUP(E117,ProductMaster!B:G,6,FALSE),0)</f>
        <v>157.00934579439252</v>
      </c>
      <c r="J117" s="123">
        <f t="shared" si="21"/>
        <v>10.99</v>
      </c>
      <c r="K117" s="123">
        <f t="shared" si="24"/>
        <v>157.01</v>
      </c>
      <c r="L117" s="91"/>
      <c r="M117" s="92" t="s">
        <v>123</v>
      </c>
      <c r="N117" s="92" t="s">
        <v>1711</v>
      </c>
      <c r="O117" s="93"/>
      <c r="P117" s="86" t="s">
        <v>129</v>
      </c>
      <c r="Q117" s="82">
        <f t="shared" si="20"/>
        <v>1</v>
      </c>
    </row>
    <row r="118" spans="1:65" ht="20.25" customHeight="1">
      <c r="A118" s="85">
        <v>45417</v>
      </c>
      <c r="B118" s="159">
        <v>505044</v>
      </c>
      <c r="C118" s="86" t="s">
        <v>6</v>
      </c>
      <c r="D118" s="87">
        <v>45242630479</v>
      </c>
      <c r="E118" s="88" t="str">
        <f>IFERROR(VLOOKUP(D118,ProductMaster!$A:$B,2,FALSE),"")</f>
        <v>006151101</v>
      </c>
      <c r="F118" s="88" t="str">
        <f>IFERROR(VLOOKUP(D118,ProductMaster!$A:$C,3,FALSE),"")</f>
        <v>48-22-2903</v>
      </c>
      <c r="G118" s="89" t="str">
        <f>IFERROR(VLOOKUP($D118,ProductMaster!$A:$O,4,FALSE),"")</f>
        <v>ไขควงด้ามฟรีอเนกประสงค์ 14in1</v>
      </c>
      <c r="H118" s="90">
        <v>1</v>
      </c>
      <c r="I118" s="123">
        <f>IFERROR(VLOOKUP(E118,ProductMaster!B:G,6,FALSE),0)</f>
        <v>923.36448598130846</v>
      </c>
      <c r="J118" s="123">
        <f t="shared" si="21"/>
        <v>64.64</v>
      </c>
      <c r="K118" s="123">
        <f t="shared" si="24"/>
        <v>923.36</v>
      </c>
      <c r="L118" s="91"/>
      <c r="M118" s="92" t="s">
        <v>123</v>
      </c>
      <c r="N118" s="92" t="s">
        <v>1711</v>
      </c>
      <c r="O118" s="93"/>
      <c r="P118" s="86" t="s">
        <v>129</v>
      </c>
      <c r="Q118" s="82">
        <f t="shared" si="20"/>
        <v>2</v>
      </c>
    </row>
    <row r="119" spans="1:65" ht="20.25" customHeight="1">
      <c r="A119" s="85">
        <v>45417</v>
      </c>
      <c r="B119" s="159">
        <v>505044</v>
      </c>
      <c r="C119" s="86" t="s">
        <v>6</v>
      </c>
      <c r="D119" s="87">
        <v>45242495078</v>
      </c>
      <c r="E119" s="88" t="str">
        <f>IFERROR(VLOOKUP(D119,ProductMaster!$A:$B,2,FALSE),"")</f>
        <v>006060301</v>
      </c>
      <c r="F119" s="88" t="str">
        <f>IFERROR(VLOOKUP(D119,ProductMaster!$A:$C,3,FALSE),"")</f>
        <v>48-22-9001</v>
      </c>
      <c r="G119" s="89" t="str">
        <f>IFERROR(VLOOKUP($D119,ProductMaster!$A:$O,4,FALSE),"")</f>
        <v>ชุดประแจบล็อก 3/8" 12 ชิ้น</v>
      </c>
      <c r="H119" s="90">
        <v>1</v>
      </c>
      <c r="I119" s="123">
        <f>IFERROR(VLOOKUP(E119,ProductMaster!B:G,6,FALSE),0)</f>
        <v>2699.0654205607475</v>
      </c>
      <c r="J119" s="123">
        <f t="shared" si="21"/>
        <v>188.93</v>
      </c>
      <c r="K119" s="123">
        <f t="shared" si="24"/>
        <v>2699.07</v>
      </c>
      <c r="L119" s="91"/>
      <c r="M119" s="92" t="s">
        <v>123</v>
      </c>
      <c r="N119" s="92" t="s">
        <v>1711</v>
      </c>
      <c r="O119" s="93"/>
      <c r="P119" s="86" t="s">
        <v>129</v>
      </c>
      <c r="Q119" s="82">
        <f t="shared" si="20"/>
        <v>3</v>
      </c>
    </row>
    <row r="120" spans="1:65" s="171" customFormat="1" ht="20.25" customHeight="1">
      <c r="A120" s="158">
        <v>45417</v>
      </c>
      <c r="B120" s="159">
        <v>505045</v>
      </c>
      <c r="C120" s="160" t="s">
        <v>1884</v>
      </c>
      <c r="D120" s="161">
        <v>4892210183637</v>
      </c>
      <c r="E120" s="162" t="str">
        <f>IFERROR(VLOOKUP(D120,ProductMaster!$A:$B,2,FALSE),"")</f>
        <v>076002492</v>
      </c>
      <c r="F120" s="162" t="str">
        <f>IFERROR(VLOOKUP(D120,ProductMaster!$A:$C,3,FALSE),"")</f>
        <v>48-22-0616</v>
      </c>
      <c r="G120" s="163" t="str">
        <f>IFERROR(VLOOKUP($D120,ProductMaster!$A:$O,4,FALSE),"")</f>
        <v>ตลับเมตรรุ่น COMPACT MAGNETIC 5 เมตร/16 ฟุต</v>
      </c>
      <c r="H120" s="164">
        <v>1</v>
      </c>
      <c r="I120" s="165">
        <f>IFERROR(VLOOKUP(E120,ProductMaster!B:G,6,FALSE),0)</f>
        <v>633.64485981308417</v>
      </c>
      <c r="J120" s="165">
        <f t="shared" si="21"/>
        <v>44.36</v>
      </c>
      <c r="K120" s="165">
        <f t="shared" si="24"/>
        <v>633.64</v>
      </c>
      <c r="L120" s="166"/>
      <c r="M120" s="167" t="s">
        <v>1717</v>
      </c>
      <c r="N120" s="167" t="s">
        <v>1711</v>
      </c>
      <c r="O120" s="168"/>
      <c r="P120" s="160" t="s">
        <v>1709</v>
      </c>
      <c r="Q120" s="169">
        <f t="shared" si="20"/>
        <v>1</v>
      </c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</row>
    <row r="121" spans="1:65" ht="20.25" customHeight="1">
      <c r="A121" s="85">
        <v>45417</v>
      </c>
      <c r="B121" s="159">
        <v>505045</v>
      </c>
      <c r="C121" s="86" t="s">
        <v>1884</v>
      </c>
      <c r="D121" s="87">
        <v>4892210203458</v>
      </c>
      <c r="E121" s="88" t="str">
        <f>IFERROR(VLOOKUP(D121,ProductMaster!$A:$B,2,FALSE),"")</f>
        <v>016710004</v>
      </c>
      <c r="F121" s="88" t="str">
        <f>IFERROR(VLOOKUP(D121,ProductMaster!$A:$C,3,FALSE),"")</f>
        <v>IR FL500</v>
      </c>
      <c r="G121" s="89" t="str">
        <f>IFERROR(VLOOKUP($D121,ProductMaster!$A:$O,4,FALSE),"")</f>
        <v>ไฟฉาย แบบชาร์จไฟได้ 500 ลูเมน</v>
      </c>
      <c r="H121" s="90">
        <v>1</v>
      </c>
      <c r="I121" s="123">
        <f>IFERROR(VLOOKUP(E121,ProductMaster!B:G,6,FALSE),0)</f>
        <v>2325.233644859813</v>
      </c>
      <c r="J121" s="123">
        <f t="shared" si="21"/>
        <v>162.77000000000001</v>
      </c>
      <c r="K121" s="123">
        <f t="shared" si="24"/>
        <v>2325.23</v>
      </c>
      <c r="L121" s="91"/>
      <c r="M121" s="92" t="s">
        <v>127</v>
      </c>
      <c r="N121" s="92" t="s">
        <v>1711</v>
      </c>
      <c r="O121" s="93"/>
      <c r="P121" s="160" t="s">
        <v>1709</v>
      </c>
      <c r="Q121" s="82">
        <f t="shared" si="20"/>
        <v>2</v>
      </c>
    </row>
    <row r="122" spans="1:65" ht="20.25" customHeight="1">
      <c r="A122" s="85">
        <v>45417</v>
      </c>
      <c r="B122" s="159">
        <v>505045</v>
      </c>
      <c r="C122" s="86" t="s">
        <v>1884</v>
      </c>
      <c r="D122" s="87">
        <v>4892210211262</v>
      </c>
      <c r="E122" s="88" t="str">
        <f>IFERROR(VLOOKUP(D122,ProductMaster!$A:$B,2,FALSE),"")</f>
        <v>018331015</v>
      </c>
      <c r="F122" s="88" t="str">
        <f>IFERROR(VLOOKUP(D122,ProductMaster!$A:$C,3,FALSE),"")</f>
        <v>L4 FFL-301 ASIA</v>
      </c>
      <c r="G122" s="89" t="str">
        <f>IFERROR(VLOOKUP($D122,ProductMaster!$A:$O,4,FALSE),"")</f>
        <v>ไฟส่องทำงาน แบบบานพับ</v>
      </c>
      <c r="H122" s="90">
        <v>1</v>
      </c>
      <c r="I122" s="123">
        <f>IFERROR(VLOOKUP(E122,ProductMaster!B:G,6,FALSE),0)</f>
        <v>2699.0654205607475</v>
      </c>
      <c r="J122" s="123">
        <f t="shared" si="21"/>
        <v>188.93</v>
      </c>
      <c r="K122" s="123">
        <f t="shared" si="24"/>
        <v>2699.07</v>
      </c>
      <c r="L122" s="91"/>
      <c r="M122" s="92" t="s">
        <v>127</v>
      </c>
      <c r="N122" s="92" t="s">
        <v>1711</v>
      </c>
      <c r="O122" s="93"/>
      <c r="P122" s="160" t="s">
        <v>1709</v>
      </c>
      <c r="Q122" s="82">
        <f t="shared" si="20"/>
        <v>3</v>
      </c>
    </row>
    <row r="123" spans="1:65" ht="20.25" customHeight="1">
      <c r="A123" s="85">
        <v>45417</v>
      </c>
      <c r="B123" s="159">
        <v>505045</v>
      </c>
      <c r="C123" s="86" t="s">
        <v>1884</v>
      </c>
      <c r="D123" s="87">
        <v>4892210211019</v>
      </c>
      <c r="E123" s="88" t="str">
        <f>IFERROR(VLOOKUP(D123,ProductMaster!$A:$B,2,FALSE),"")</f>
        <v>016137016</v>
      </c>
      <c r="F123" s="88" t="str">
        <f>IFERROR(VLOOKUP(D123,ProductMaster!$A:$C,3,FALSE),"")</f>
        <v>L4 TMLED-301 ASIA</v>
      </c>
      <c r="G123" s="89" t="str">
        <f>IFERROR(VLOOKUP($D123,ProductMaster!$A:$O,4,FALSE),"")</f>
        <v>ไฟฉายโลหะหมุนปรับแสง แอลอีดี</v>
      </c>
      <c r="H123" s="90">
        <v>1</v>
      </c>
      <c r="I123" s="123">
        <f>IFERROR(VLOOKUP(E123,ProductMaster!B:G,6,FALSE),0)</f>
        <v>3259.8130841121497</v>
      </c>
      <c r="J123" s="123">
        <f t="shared" si="21"/>
        <v>228.19</v>
      </c>
      <c r="K123" s="123">
        <f t="shared" si="24"/>
        <v>3259.81</v>
      </c>
      <c r="L123" s="91"/>
      <c r="M123" s="92" t="s">
        <v>127</v>
      </c>
      <c r="N123" s="92" t="s">
        <v>1711</v>
      </c>
      <c r="O123" s="93">
        <v>0</v>
      </c>
      <c r="P123" s="160" t="s">
        <v>1709</v>
      </c>
      <c r="Q123" s="82">
        <f t="shared" si="20"/>
        <v>4</v>
      </c>
    </row>
    <row r="124" spans="1:65" ht="20.25" customHeight="1">
      <c r="A124" s="85">
        <v>45417</v>
      </c>
      <c r="B124" s="159">
        <v>505046</v>
      </c>
      <c r="C124" s="86" t="s">
        <v>6</v>
      </c>
      <c r="D124" s="87">
        <v>45242502707</v>
      </c>
      <c r="E124" s="88" t="str">
        <f>IFERROR(VLOOKUP(D124,ProductMaster!$A:$B,2,FALSE),"")</f>
        <v>076002285</v>
      </c>
      <c r="F124" s="88" t="str">
        <f>IFERROR(VLOOKUP(D124,ProductMaster!$A:$C,3,FALSE),"")</f>
        <v>48-22-7826</v>
      </c>
      <c r="G124" s="89" t="str">
        <f>IFERROR(VLOOKUP($D124,ProductMaster!$A:$O,4,FALSE),"")</f>
        <v>ตลับเมตรรุ่น RED 8 เมตร/26 ฟุต</v>
      </c>
      <c r="H124" s="90">
        <v>1</v>
      </c>
      <c r="I124" s="123">
        <f>IFERROR(VLOOKUP(E124,ProductMaster!B:G,6,FALSE),0)</f>
        <v>353.27102803738319</v>
      </c>
      <c r="J124" s="123">
        <f t="shared" si="21"/>
        <v>24.73</v>
      </c>
      <c r="K124" s="123">
        <f t="shared" si="24"/>
        <v>353.27</v>
      </c>
      <c r="L124" s="91"/>
      <c r="M124" s="92" t="s">
        <v>127</v>
      </c>
      <c r="N124" s="92" t="s">
        <v>1711</v>
      </c>
      <c r="O124" s="93">
        <v>0</v>
      </c>
      <c r="P124" s="86" t="s">
        <v>129</v>
      </c>
      <c r="Q124" s="82">
        <f t="shared" si="20"/>
        <v>1</v>
      </c>
    </row>
    <row r="125" spans="1:65" ht="20.25" customHeight="1">
      <c r="A125" s="85">
        <v>45417</v>
      </c>
      <c r="B125" s="159">
        <v>505047</v>
      </c>
      <c r="C125" s="86" t="s">
        <v>6</v>
      </c>
      <c r="D125" s="87">
        <v>4892210192462</v>
      </c>
      <c r="E125" s="88" t="str">
        <f>IFERROR(VLOOKUP(D125,ProductMaster!$A:$B,2,FALSE),"")</f>
        <v>006094410</v>
      </c>
      <c r="F125" s="88" t="str">
        <f>IFERROR(VLOOKUP(D125,ProductMaster!$A:$C,3,FALSE),"")</f>
        <v>48-73-2025A</v>
      </c>
      <c r="G125" s="89" t="str">
        <f>IFERROR(VLOOKUP($D125,ProductMaster!$A:$O,4,FALSE),"")</f>
        <v>แว่นตาเซฟตี้นิรภัย เลนส์ดำ</v>
      </c>
      <c r="H125" s="90">
        <v>1</v>
      </c>
      <c r="I125" s="123">
        <f>IFERROR(VLOOKUP(E125,ProductMaster!B:G,6,FALSE),0)</f>
        <v>474.76635514018693</v>
      </c>
      <c r="J125" s="123">
        <f t="shared" si="21"/>
        <v>33.229999999999997</v>
      </c>
      <c r="K125" s="123">
        <f t="shared" si="24"/>
        <v>474.77</v>
      </c>
      <c r="L125" s="91"/>
      <c r="M125" s="92" t="s">
        <v>127</v>
      </c>
      <c r="N125" s="92" t="s">
        <v>1711</v>
      </c>
      <c r="O125" s="93">
        <v>0</v>
      </c>
      <c r="P125" s="86" t="s">
        <v>129</v>
      </c>
      <c r="Q125" s="82">
        <f t="shared" si="20"/>
        <v>1</v>
      </c>
    </row>
    <row r="126" spans="1:65" ht="20.25" customHeight="1">
      <c r="A126" s="85">
        <v>45417</v>
      </c>
      <c r="B126" s="159">
        <v>505048</v>
      </c>
      <c r="C126" s="86" t="s">
        <v>1881</v>
      </c>
      <c r="D126" s="87">
        <v>45242524082</v>
      </c>
      <c r="E126" s="88" t="str">
        <f>IFERROR(VLOOKUP(D126,ProductMaster!$A:$B,2,FALSE),"")</f>
        <v>129305374</v>
      </c>
      <c r="F126" s="88" t="str">
        <f>IFERROR(VLOOKUP(D126,ProductMaster!$A:$C,3,FALSE),"")</f>
        <v>48-22-8410</v>
      </c>
      <c r="G126" s="89" t="str">
        <f>IFERROR(VLOOKUP($D126,ProductMaster!$A:$O,4,FALSE),"")</f>
        <v>ฐาน PACKOUT แบบล้อเลื่อน</v>
      </c>
      <c r="H126" s="90">
        <v>1</v>
      </c>
      <c r="I126" s="123">
        <f>IFERROR(VLOOKUP(E126,ProductMaster!B:G,6,FALSE),0)</f>
        <v>4848.5981308411219</v>
      </c>
      <c r="J126" s="123">
        <f t="shared" si="21"/>
        <v>339.4</v>
      </c>
      <c r="K126" s="123">
        <f t="shared" si="24"/>
        <v>4848.6000000000004</v>
      </c>
      <c r="L126" s="91"/>
      <c r="M126" s="92" t="s">
        <v>1717</v>
      </c>
      <c r="N126" s="92" t="s">
        <v>1711</v>
      </c>
      <c r="O126" s="93">
        <v>0</v>
      </c>
      <c r="P126" s="86" t="s">
        <v>129</v>
      </c>
      <c r="Q126" s="82">
        <f t="shared" si="20"/>
        <v>1</v>
      </c>
    </row>
    <row r="127" spans="1:65" ht="20.25" customHeight="1">
      <c r="A127" s="85">
        <v>45417</v>
      </c>
      <c r="B127" s="159">
        <v>505048</v>
      </c>
      <c r="C127" s="86" t="s">
        <v>1881</v>
      </c>
      <c r="D127" s="87">
        <v>45242505340</v>
      </c>
      <c r="E127" s="88" t="str">
        <f>IFERROR(VLOOKUP(D127,ProductMaster!$A:$B,2,FALSE),"")</f>
        <v>129305050</v>
      </c>
      <c r="F127" s="88" t="str">
        <f>IFERROR(VLOOKUP(D127,ProductMaster!$A:$C,3,FALSE),"")</f>
        <v>48-22-8425</v>
      </c>
      <c r="G127" s="89" t="str">
        <f>IFERROR(VLOOKUP($D127,ProductMaster!$A:$O,4,FALSE),"")</f>
        <v xml:space="preserve">กล่องเครื่องมือ PACKOUT ขนาดใหญ่ </v>
      </c>
      <c r="H127" s="90">
        <v>1</v>
      </c>
      <c r="I127" s="123">
        <f>IFERROR(VLOOKUP(E127,ProductMaster!B:G,6,FALSE),0)</f>
        <v>4100.934579439252</v>
      </c>
      <c r="J127" s="123">
        <f t="shared" si="21"/>
        <v>287.07</v>
      </c>
      <c r="K127" s="123">
        <f t="shared" si="24"/>
        <v>4100.93</v>
      </c>
      <c r="L127" s="91"/>
      <c r="M127" s="92" t="s">
        <v>1717</v>
      </c>
      <c r="N127" s="92" t="s">
        <v>1711</v>
      </c>
      <c r="O127" s="93">
        <v>0</v>
      </c>
      <c r="P127" s="86" t="s">
        <v>129</v>
      </c>
      <c r="Q127" s="82">
        <f t="shared" si="20"/>
        <v>2</v>
      </c>
    </row>
    <row r="128" spans="1:65" ht="20.25" customHeight="1">
      <c r="A128" s="85">
        <v>45417</v>
      </c>
      <c r="B128" s="159">
        <v>505048</v>
      </c>
      <c r="C128" s="86" t="s">
        <v>1881</v>
      </c>
      <c r="D128" s="87">
        <v>45242559558</v>
      </c>
      <c r="E128" s="88" t="str">
        <f>IFERROR(VLOOKUP(D128,ProductMaster!$A:$B,2,FALSE),"")</f>
        <v>129305678</v>
      </c>
      <c r="F128" s="88" t="str">
        <f>IFERROR(VLOOKUP(D128,ProductMaster!$A:$C,3,FALSE),"")</f>
        <v>48-22-8443</v>
      </c>
      <c r="G128" s="89" t="str">
        <f>IFERROR(VLOOKUP($D128,ProductMaster!$A:$O,4,FALSE),"")</f>
        <v>กล่องเครื่องมือ PACKOUT 3 ลิ้นชัก</v>
      </c>
      <c r="H128" s="90">
        <v>1</v>
      </c>
      <c r="I128" s="123">
        <f>IFERROR(VLOOKUP(E128,ProductMaster!B:G,6,FALSE),0)</f>
        <v>7839.2523364485978</v>
      </c>
      <c r="J128" s="123">
        <f t="shared" si="21"/>
        <v>548.75</v>
      </c>
      <c r="K128" s="123">
        <f t="shared" si="24"/>
        <v>7839.25</v>
      </c>
      <c r="L128" s="91"/>
      <c r="M128" s="92" t="s">
        <v>1717</v>
      </c>
      <c r="N128" s="92" t="s">
        <v>1711</v>
      </c>
      <c r="O128" s="93">
        <v>0</v>
      </c>
      <c r="P128" s="86" t="s">
        <v>129</v>
      </c>
      <c r="Q128" s="82">
        <f t="shared" si="20"/>
        <v>3</v>
      </c>
    </row>
    <row r="129" spans="1:17" ht="20.25" customHeight="1">
      <c r="A129" s="85">
        <v>45417</v>
      </c>
      <c r="B129" s="159">
        <v>505048</v>
      </c>
      <c r="C129" s="86" t="s">
        <v>1881</v>
      </c>
      <c r="D129" s="87">
        <v>45242600694</v>
      </c>
      <c r="E129" s="88" t="str">
        <f>IFERROR(VLOOKUP(D129,ProductMaster!$A:$B,2,FALSE),"")</f>
        <v>129305883</v>
      </c>
      <c r="F129" s="88" t="str">
        <f>IFERROR(VLOOKUP(D129,ProductMaster!$A:$C,3,FALSE),"")</f>
        <v>48-22-8432</v>
      </c>
      <c r="G129" s="89" t="str">
        <f>IFERROR(VLOOKUP($D129,ProductMaster!$A:$O,4,FALSE),"")</f>
        <v>กล่องเครื่องมือ PACKOUT Deep Organizer</v>
      </c>
      <c r="H129" s="90">
        <v>1</v>
      </c>
      <c r="I129" s="123">
        <f>IFERROR(VLOOKUP(E129,ProductMaster!B:G,6,FALSE),0)</f>
        <v>3353.2710280373831</v>
      </c>
      <c r="J129" s="123">
        <f t="shared" si="21"/>
        <v>234.73</v>
      </c>
      <c r="K129" s="123">
        <f t="shared" si="24"/>
        <v>3353.27</v>
      </c>
      <c r="L129" s="91"/>
      <c r="M129" s="92" t="s">
        <v>1717</v>
      </c>
      <c r="N129" s="92" t="s">
        <v>1711</v>
      </c>
      <c r="O129" s="93">
        <v>0</v>
      </c>
      <c r="P129" s="86" t="s">
        <v>129</v>
      </c>
      <c r="Q129" s="82">
        <f t="shared" si="20"/>
        <v>4</v>
      </c>
    </row>
    <row r="130" spans="1:17" ht="20.25" customHeight="1">
      <c r="A130" s="85">
        <v>45417</v>
      </c>
      <c r="B130" s="159">
        <v>505048</v>
      </c>
      <c r="C130" s="86" t="s">
        <v>1881</v>
      </c>
      <c r="D130" s="87">
        <v>45242571871</v>
      </c>
      <c r="E130" s="88" t="str">
        <f>IFERROR(VLOOKUP(D130,ProductMaster!$A:$B,2,FALSE),"")</f>
        <v>129305676</v>
      </c>
      <c r="F130" s="88" t="str">
        <f>IFERROR(VLOOKUP(D130,ProductMaster!$A:$C,3,FALSE),"")</f>
        <v>48-22-8488</v>
      </c>
      <c r="G130" s="89" t="str">
        <f>IFERROR(VLOOKUP($D130,ProductMaster!$A:$O,4,FALSE),"")</f>
        <v>แผ่นท็อปทำงาน PACKOUT</v>
      </c>
      <c r="H130" s="90">
        <v>1</v>
      </c>
      <c r="I130" s="123">
        <f>IFERROR(VLOOKUP(E130,ProductMaster!B:G,6,FALSE),0)</f>
        <v>2979.4392523364486</v>
      </c>
      <c r="J130" s="123">
        <f t="shared" si="21"/>
        <v>208.56</v>
      </c>
      <c r="K130" s="123">
        <f t="shared" si="24"/>
        <v>2979.44</v>
      </c>
      <c r="L130" s="91"/>
      <c r="M130" s="92" t="s">
        <v>1717</v>
      </c>
      <c r="N130" s="92" t="s">
        <v>1711</v>
      </c>
      <c r="O130" s="93">
        <v>0</v>
      </c>
      <c r="P130" s="86" t="s">
        <v>129</v>
      </c>
      <c r="Q130" s="82">
        <f t="shared" ref="Q130:Q193" si="25">IF(B130=B129,Q129+1,1)</f>
        <v>5</v>
      </c>
    </row>
    <row r="131" spans="1:17" ht="20.25" customHeight="1">
      <c r="A131" s="85">
        <v>45417</v>
      </c>
      <c r="B131" s="159">
        <v>505048</v>
      </c>
      <c r="C131" s="86" t="s">
        <v>1881</v>
      </c>
      <c r="D131" s="87">
        <v>4892210201416</v>
      </c>
      <c r="E131" s="88" t="str">
        <f>IFERROR(VLOOKUP(D131,ProductMaster!$A:$B,2,FALSE),"")</f>
        <v>016144005</v>
      </c>
      <c r="F131" s="88" t="str">
        <f>IFERROR(VLOOKUP(D131,ProductMaster!$A:$C,3,FALSE),"")</f>
        <v>M12 AF-0 ASIA</v>
      </c>
      <c r="G131" s="89" t="str">
        <f>IFERROR(VLOOKUP($D131,ProductMaster!$A:$O,4,FALSE),"")</f>
        <v>พัดลมไร้สาย 12 โวลต์  (เครื่องเปล่า)</v>
      </c>
      <c r="H131" s="90">
        <v>1</v>
      </c>
      <c r="I131" s="123">
        <f>IFERROR(VLOOKUP(E131,ProductMaster!B:G,6,FALSE),0)</f>
        <v>3072.8971962616824</v>
      </c>
      <c r="J131" s="123">
        <f t="shared" ref="J131:J194" si="26">ROUND(SUM(I131*7%),2)</f>
        <v>215.1</v>
      </c>
      <c r="K131" s="123">
        <f t="shared" si="24"/>
        <v>3072.9</v>
      </c>
      <c r="L131" s="91"/>
      <c r="M131" s="92" t="s">
        <v>1717</v>
      </c>
      <c r="N131" s="92" t="s">
        <v>1711</v>
      </c>
      <c r="O131" s="93">
        <v>0</v>
      </c>
      <c r="P131" s="86" t="s">
        <v>129</v>
      </c>
      <c r="Q131" s="82">
        <f t="shared" si="25"/>
        <v>6</v>
      </c>
    </row>
    <row r="132" spans="1:17" ht="20.25" customHeight="1">
      <c r="A132" s="85">
        <v>45417</v>
      </c>
      <c r="B132" s="159">
        <v>505048</v>
      </c>
      <c r="C132" s="86" t="s">
        <v>1881</v>
      </c>
      <c r="D132" s="87" t="s">
        <v>1942</v>
      </c>
      <c r="E132" s="88" t="str">
        <f>IFERROR(VLOOKUP(D132,ProductMaster!$A:$B,2,FALSE),"")</f>
        <v>48-22-8451</v>
      </c>
      <c r="F132" s="88" t="str">
        <f>IFERROR(VLOOKUP(D132,ProductMaster!$A:$C,3,FALSE),"")</f>
        <v>48-22-8451</v>
      </c>
      <c r="G132" s="89" t="str">
        <f>IFERROR(VLOOKUP($D132,ProductMaster!$A:$O,4,FALSE),"")</f>
        <v>Foam for packout</v>
      </c>
      <c r="H132" s="90">
        <v>3</v>
      </c>
      <c r="I132" s="123">
        <f>IFERROR(VLOOKUP(E132,ProductMaster!B:G,6,FALSE),0)</f>
        <v>549.53271028037386</v>
      </c>
      <c r="J132" s="123">
        <f t="shared" si="26"/>
        <v>38.47</v>
      </c>
      <c r="K132" s="123">
        <f t="shared" si="24"/>
        <v>1648.6</v>
      </c>
      <c r="L132" s="91"/>
      <c r="M132" s="92" t="s">
        <v>1717</v>
      </c>
      <c r="N132" s="92" t="s">
        <v>1711</v>
      </c>
      <c r="O132" s="93">
        <v>0</v>
      </c>
      <c r="P132" s="86" t="s">
        <v>129</v>
      </c>
      <c r="Q132" s="82">
        <f t="shared" si="25"/>
        <v>7</v>
      </c>
    </row>
    <row r="133" spans="1:17" ht="20.25" customHeight="1">
      <c r="A133" s="85">
        <v>45417</v>
      </c>
      <c r="B133" s="159">
        <v>505049</v>
      </c>
      <c r="C133" s="86" t="s">
        <v>6</v>
      </c>
      <c r="D133" s="87">
        <v>45242505319</v>
      </c>
      <c r="E133" s="88" t="str">
        <f>IFERROR(VLOOKUP(D133,ProductMaster!$A:$B,2,FALSE),"")</f>
        <v>129305052</v>
      </c>
      <c r="F133" s="88" t="str">
        <f>IFERROR(VLOOKUP(D133,ProductMaster!$A:$C,3,FALSE),"")</f>
        <v>48-22-8430</v>
      </c>
      <c r="G133" s="89" t="str">
        <f>IFERROR(VLOOKUP($D133,ProductMaster!$A:$O,4,FALSE),"")</f>
        <v>กล่องเครื่องมือ PACKOUT ออแกนไนซ์เซอร์</v>
      </c>
      <c r="H133" s="90">
        <v>1</v>
      </c>
      <c r="I133" s="123">
        <f>IFERROR(VLOOKUP(E133,ProductMaster!B:G,6,FALSE),0)</f>
        <v>2512.1495327102803</v>
      </c>
      <c r="J133" s="123">
        <f t="shared" si="26"/>
        <v>175.85</v>
      </c>
      <c r="K133" s="123">
        <f t="shared" si="24"/>
        <v>2512.15</v>
      </c>
      <c r="L133" s="91"/>
      <c r="M133" s="92" t="s">
        <v>127</v>
      </c>
      <c r="N133" s="92" t="s">
        <v>1711</v>
      </c>
      <c r="O133" s="93">
        <v>0</v>
      </c>
      <c r="P133" s="86" t="s">
        <v>129</v>
      </c>
      <c r="Q133" s="82">
        <f t="shared" si="25"/>
        <v>1</v>
      </c>
    </row>
    <row r="134" spans="1:17" ht="20.25" customHeight="1">
      <c r="A134" s="85">
        <v>45417</v>
      </c>
      <c r="B134" s="159">
        <v>505049</v>
      </c>
      <c r="C134" s="86" t="s">
        <v>6</v>
      </c>
      <c r="D134" s="87">
        <v>45242502707</v>
      </c>
      <c r="E134" s="88" t="str">
        <f>IFERROR(VLOOKUP(D134,ProductMaster!$A:$B,2,FALSE),"")</f>
        <v>076002285</v>
      </c>
      <c r="F134" s="88" t="str">
        <f>IFERROR(VLOOKUP(D134,ProductMaster!$A:$C,3,FALSE),"")</f>
        <v>48-22-7826</v>
      </c>
      <c r="G134" s="89" t="str">
        <f>IFERROR(VLOOKUP($D134,ProductMaster!$A:$O,4,FALSE),"")</f>
        <v>ตลับเมตรรุ่น RED 8 เมตร/26 ฟุต</v>
      </c>
      <c r="H134" s="90">
        <v>1</v>
      </c>
      <c r="I134" s="123">
        <f>IFERROR(VLOOKUP(E134,ProductMaster!B:G,6,FALSE),0)</f>
        <v>353.27102803738319</v>
      </c>
      <c r="J134" s="123">
        <f t="shared" si="26"/>
        <v>24.73</v>
      </c>
      <c r="K134" s="123">
        <f t="shared" si="24"/>
        <v>353.27</v>
      </c>
      <c r="L134" s="91"/>
      <c r="M134" s="92" t="s">
        <v>127</v>
      </c>
      <c r="N134" s="92" t="s">
        <v>1711</v>
      </c>
      <c r="O134" s="93">
        <v>0</v>
      </c>
      <c r="P134" s="86" t="s">
        <v>129</v>
      </c>
      <c r="Q134" s="82">
        <f t="shared" si="25"/>
        <v>2</v>
      </c>
    </row>
    <row r="135" spans="1:17" ht="20.25" customHeight="1">
      <c r="A135" s="85">
        <v>45417</v>
      </c>
      <c r="B135" s="159">
        <v>505050</v>
      </c>
      <c r="C135" s="86" t="s">
        <v>6</v>
      </c>
      <c r="D135" s="87">
        <v>4892210240033</v>
      </c>
      <c r="E135" s="88" t="str">
        <f>IFERROR(VLOOKUP(D135,ProductMaster!$A:$B,2,FALSE),"")</f>
        <v>059600307</v>
      </c>
      <c r="F135" s="88" t="str">
        <f>IFERROR(VLOOKUP(D135,ProductMaster!$A:$C,3,FALSE),"")</f>
        <v>M18 FPP2AC3-502LR SA</v>
      </c>
      <c r="G135" s="89" t="str">
        <f>IFERROR(VLOOKUP($D135,ProductMaster!$A:$O,4,FALSE),"")</f>
        <v>M18 FPP2AC3-502LR SA (ชุดคอมโบสำหรับช่างไฟ)</v>
      </c>
      <c r="H135" s="90">
        <v>1</v>
      </c>
      <c r="I135" s="123">
        <f>IFERROR(VLOOKUP(E135,ProductMaster!B:G,6,FALSE),0)</f>
        <v>17652.336448598129</v>
      </c>
      <c r="J135" s="123">
        <f t="shared" si="26"/>
        <v>1235.6600000000001</v>
      </c>
      <c r="K135" s="123">
        <f t="shared" si="24"/>
        <v>17652.34</v>
      </c>
      <c r="L135" s="91">
        <v>2000</v>
      </c>
      <c r="M135" s="92" t="s">
        <v>127</v>
      </c>
      <c r="N135" s="92" t="s">
        <v>1711</v>
      </c>
      <c r="O135" s="93">
        <v>0</v>
      </c>
      <c r="P135" s="86" t="s">
        <v>129</v>
      </c>
      <c r="Q135" s="82">
        <f t="shared" si="25"/>
        <v>1</v>
      </c>
    </row>
    <row r="136" spans="1:17" ht="20.25" customHeight="1">
      <c r="A136" s="85">
        <v>45417</v>
      </c>
      <c r="B136" s="159">
        <v>505050</v>
      </c>
      <c r="C136" s="86" t="s">
        <v>6</v>
      </c>
      <c r="D136" s="87">
        <v>4892210196293</v>
      </c>
      <c r="E136" s="88" t="str">
        <f>IFERROR(VLOOKUP(D136,ProductMaster!$A:$B,2,FALSE),"")</f>
        <v>018508015</v>
      </c>
      <c r="F136" s="88" t="str">
        <f>IFERROR(VLOOKUP(D136,ProductMaster!$A:$C,3,FALSE),"")</f>
        <v>M18 FMTIW2F12-0X0 ASIA</v>
      </c>
      <c r="G136" s="89" t="str">
        <f>IFERROR(VLOOKUP($D136,ProductMaster!$A:$O,4,FALSE),"")</f>
        <v>M18 FUEL บล็อกกระแทกไร้สาย 1/2" มิดทอร์ค</v>
      </c>
      <c r="H136" s="90">
        <v>1</v>
      </c>
      <c r="I136" s="123">
        <f>IFERROR(VLOOKUP(E136,ProductMaster!B:G,6,FALSE),0)</f>
        <v>7465.4205607476633</v>
      </c>
      <c r="J136" s="123">
        <f t="shared" si="26"/>
        <v>522.58000000000004</v>
      </c>
      <c r="K136" s="123">
        <f t="shared" si="24"/>
        <v>7465.42</v>
      </c>
      <c r="L136" s="91">
        <v>500</v>
      </c>
      <c r="M136" s="92" t="s">
        <v>127</v>
      </c>
      <c r="N136" s="92" t="s">
        <v>1711</v>
      </c>
      <c r="O136" s="93">
        <v>0</v>
      </c>
      <c r="P136" s="86" t="s">
        <v>129</v>
      </c>
      <c r="Q136" s="82">
        <f t="shared" si="25"/>
        <v>2</v>
      </c>
    </row>
    <row r="137" spans="1:17" ht="20.25" customHeight="1">
      <c r="A137" s="85">
        <v>45417</v>
      </c>
      <c r="B137" s="159">
        <v>505050</v>
      </c>
      <c r="C137" s="86" t="s">
        <v>6</v>
      </c>
      <c r="D137" s="87">
        <v>4892210205902</v>
      </c>
      <c r="E137" s="88" t="str">
        <f>IFERROR(VLOOKUP(D137,ProductMaster!$A:$B,2,FALSE),"")</f>
        <v>018521013</v>
      </c>
      <c r="F137" s="88" t="str">
        <f>IFERROR(VLOOKUP(D137,ProductMaster!$A:$C,3,FALSE),"")</f>
        <v>M18 FSAGV100XB-0X0</v>
      </c>
      <c r="G137" s="89" t="str">
        <f>IFERROR(VLOOKUP($D137,ProductMaster!$A:$O,4,FALSE),"")</f>
        <v>เครื่องเจียร 4" ไร้สาย 18 โวลต์ (เครื่องเปล่า)</v>
      </c>
      <c r="H137" s="90">
        <v>1</v>
      </c>
      <c r="I137" s="123">
        <f>IFERROR(VLOOKUP(E137,ProductMaster!B:G,6,FALSE),0)</f>
        <v>6437.3831775700937</v>
      </c>
      <c r="J137" s="123">
        <f t="shared" si="26"/>
        <v>450.62</v>
      </c>
      <c r="K137" s="123">
        <f t="shared" si="24"/>
        <v>6437.38</v>
      </c>
      <c r="L137" s="91">
        <v>500</v>
      </c>
      <c r="M137" s="92" t="s">
        <v>127</v>
      </c>
      <c r="N137" s="92" t="s">
        <v>1711</v>
      </c>
      <c r="O137" s="93">
        <v>0</v>
      </c>
      <c r="P137" s="86" t="s">
        <v>129</v>
      </c>
      <c r="Q137" s="82">
        <f t="shared" si="25"/>
        <v>3</v>
      </c>
    </row>
    <row r="138" spans="1:17" ht="20.25" customHeight="1">
      <c r="A138" s="85">
        <v>45417</v>
      </c>
      <c r="B138" s="159">
        <v>505051</v>
      </c>
      <c r="C138" s="86" t="s">
        <v>6</v>
      </c>
      <c r="D138" s="87">
        <v>45242081745</v>
      </c>
      <c r="E138" s="88" t="str">
        <f>IFERROR(VLOOKUP(D138,ProductMaster!$A:$B,2,FALSE),"")</f>
        <v>129221183</v>
      </c>
      <c r="F138" s="88" t="str">
        <f>IFERROR(VLOOKUP(D138,ProductMaster!$A:$C,3,FALSE),"")</f>
        <v>48-00-1301</v>
      </c>
      <c r="G138" s="89" t="str">
        <f>IFERROR(VLOOKUP($D138,ProductMaster!$A:$O,4,FALSE),"")</f>
        <v>ใบเลื่อยซอว์ซอลตัดแต่ง 9" Pruning 5 TPI (5 ใบ)</v>
      </c>
      <c r="H138" s="90">
        <v>1</v>
      </c>
      <c r="I138" s="123">
        <f>IFERROR(VLOOKUP(E138,ProductMaster!B:G,6,FALSE),0)</f>
        <v>568.22429906542061</v>
      </c>
      <c r="J138" s="123">
        <f t="shared" si="26"/>
        <v>39.78</v>
      </c>
      <c r="K138" s="123">
        <f t="shared" ref="K138:K201" si="27">ROUND(SUM(H138*I138),2)</f>
        <v>568.22</v>
      </c>
      <c r="L138" s="91"/>
      <c r="M138" s="92" t="s">
        <v>127</v>
      </c>
      <c r="N138" s="92" t="s">
        <v>1711</v>
      </c>
      <c r="O138" s="93">
        <v>0</v>
      </c>
      <c r="P138" s="86" t="s">
        <v>129</v>
      </c>
      <c r="Q138" s="82">
        <f t="shared" si="25"/>
        <v>1</v>
      </c>
    </row>
    <row r="139" spans="1:17" ht="20.25" customHeight="1">
      <c r="A139" s="85">
        <v>45417</v>
      </c>
      <c r="B139" s="159">
        <v>505051</v>
      </c>
      <c r="C139" s="86" t="s">
        <v>6</v>
      </c>
      <c r="D139" s="87">
        <v>45242082834</v>
      </c>
      <c r="E139" s="88" t="str">
        <f>IFERROR(VLOOKUP(D139,ProductMaster!$A:$B,2,FALSE),"")</f>
        <v>129221226</v>
      </c>
      <c r="F139" s="88" t="str">
        <f>IFERROR(VLOOKUP(D139,ProductMaster!$A:$C,3,FALSE),"")</f>
        <v>48-00-5182</v>
      </c>
      <c r="G139" s="89" t="str">
        <f>IFERROR(VLOOKUP($D139,ProductMaster!$A:$O,4,FALSE),"")</f>
        <v>ใบเลื่อยซอว์ซอลตัดเหล็ก 6" Thin Kerf 14 TPI (5 ใบ)</v>
      </c>
      <c r="H139" s="90">
        <v>1</v>
      </c>
      <c r="I139" s="123">
        <f>IFERROR(VLOOKUP(E139,ProductMaster!B:G,6,FALSE),0)</f>
        <v>409.34579439252337</v>
      </c>
      <c r="J139" s="123">
        <f t="shared" si="26"/>
        <v>28.65</v>
      </c>
      <c r="K139" s="123">
        <f t="shared" si="27"/>
        <v>409.35</v>
      </c>
      <c r="L139" s="91"/>
      <c r="M139" s="92" t="s">
        <v>127</v>
      </c>
      <c r="N139" s="92" t="s">
        <v>1711</v>
      </c>
      <c r="O139" s="93">
        <v>0</v>
      </c>
      <c r="P139" s="86" t="s">
        <v>129</v>
      </c>
      <c r="Q139" s="82">
        <f t="shared" si="25"/>
        <v>2</v>
      </c>
    </row>
    <row r="140" spans="1:17" ht="20.25" customHeight="1">
      <c r="A140" s="85">
        <v>45417</v>
      </c>
      <c r="B140" s="159">
        <v>505052</v>
      </c>
      <c r="C140" s="86" t="s">
        <v>6</v>
      </c>
      <c r="D140" s="87">
        <v>45242502691</v>
      </c>
      <c r="E140" s="88" t="str">
        <f>IFERROR(VLOOKUP(D140,ProductMaster!$A:$B,2,FALSE),"")</f>
        <v>076002284</v>
      </c>
      <c r="F140" s="88" t="str">
        <f>IFERROR(VLOOKUP(D140,ProductMaster!$A:$C,3,FALSE),"")</f>
        <v>48-22-7816</v>
      </c>
      <c r="G140" s="89" t="str">
        <f>IFERROR(VLOOKUP($D140,ProductMaster!$A:$O,4,FALSE),"")</f>
        <v>ตลับเมตรรุ่น RED 5 เมตร/16 ฟุต</v>
      </c>
      <c r="H140" s="90">
        <v>1</v>
      </c>
      <c r="I140" s="123">
        <f>IFERROR(VLOOKUP(E140,ProductMaster!B:G,6,FALSE),0)</f>
        <v>287.85046728971963</v>
      </c>
      <c r="J140" s="123">
        <f t="shared" si="26"/>
        <v>20.149999999999999</v>
      </c>
      <c r="K140" s="123">
        <f t="shared" si="27"/>
        <v>287.85000000000002</v>
      </c>
      <c r="L140" s="91"/>
      <c r="M140" s="92" t="s">
        <v>127</v>
      </c>
      <c r="N140" s="92" t="s">
        <v>1711</v>
      </c>
      <c r="O140" s="93">
        <v>0</v>
      </c>
      <c r="P140" s="86" t="s">
        <v>129</v>
      </c>
      <c r="Q140" s="82">
        <f t="shared" si="25"/>
        <v>1</v>
      </c>
    </row>
    <row r="141" spans="1:17" ht="20.25" customHeight="1">
      <c r="A141" s="85">
        <v>45417</v>
      </c>
      <c r="B141" s="159">
        <v>505053</v>
      </c>
      <c r="C141" s="86" t="s">
        <v>6</v>
      </c>
      <c r="D141" s="87">
        <v>45242501229</v>
      </c>
      <c r="E141" s="88" t="str">
        <f>IFERROR(VLOOKUP(D141,ProductMaster!$A:$B,2,FALSE),"")</f>
        <v>006059007</v>
      </c>
      <c r="F141" s="88" t="str">
        <f>IFERROR(VLOOKUP(D141,ProductMaster!$A:$C,3,FALSE),"")</f>
        <v>48-22-8721</v>
      </c>
      <c r="G141" s="89" t="str">
        <f>IFERROR(VLOOKUP($D141,ProductMaster!$A:$O,4,FALSE),"")</f>
        <v xml:space="preserve">ถุงมือ General Purpose Gloves - M </v>
      </c>
      <c r="H141" s="90">
        <v>1</v>
      </c>
      <c r="I141" s="123">
        <f>IFERROR(VLOOKUP(E141,ProductMaster!B:G,6,FALSE),0)</f>
        <v>642.99065420560748</v>
      </c>
      <c r="J141" s="123">
        <f t="shared" si="26"/>
        <v>45.01</v>
      </c>
      <c r="K141" s="123">
        <f t="shared" si="27"/>
        <v>642.99</v>
      </c>
      <c r="L141" s="91"/>
      <c r="M141" s="92" t="s">
        <v>127</v>
      </c>
      <c r="N141" s="92" t="s">
        <v>1711</v>
      </c>
      <c r="O141" s="93">
        <v>0</v>
      </c>
      <c r="P141" s="86" t="s">
        <v>129</v>
      </c>
      <c r="Q141" s="82">
        <f t="shared" si="25"/>
        <v>1</v>
      </c>
    </row>
    <row r="142" spans="1:17" ht="20.25" customHeight="1">
      <c r="A142" s="85">
        <v>45417</v>
      </c>
      <c r="B142" s="159">
        <v>505053</v>
      </c>
      <c r="C142" s="86" t="s">
        <v>6</v>
      </c>
      <c r="D142" s="87">
        <v>45242534500</v>
      </c>
      <c r="E142" s="88" t="str">
        <f>IFERROR(VLOOKUP(D142,ProductMaster!$A:$B,2,FALSE),"")</f>
        <v>006084301</v>
      </c>
      <c r="F142" s="88" t="str">
        <f>IFERROR(VLOOKUP(D142,ProductMaster!$A:$C,3,FALSE),"")</f>
        <v>48-22-1535</v>
      </c>
      <c r="G142" s="89" t="str">
        <f>IFERROR(VLOOKUP($D142,ProductMaster!$A:$O,4,FALSE),"")</f>
        <v>มีดพับฟันเลื่อยลายพรางระบบสปริงเปิด/ปิด</v>
      </c>
      <c r="H142" s="90">
        <v>1</v>
      </c>
      <c r="I142" s="123">
        <f>IFERROR(VLOOKUP(E142,ProductMaster!B:G,6,FALSE),0)</f>
        <v>876.63551401869154</v>
      </c>
      <c r="J142" s="123">
        <f t="shared" si="26"/>
        <v>61.36</v>
      </c>
      <c r="K142" s="123">
        <f t="shared" si="27"/>
        <v>876.64</v>
      </c>
      <c r="L142" s="91"/>
      <c r="M142" s="92" t="s">
        <v>127</v>
      </c>
      <c r="N142" s="92" t="s">
        <v>1711</v>
      </c>
      <c r="O142" s="93">
        <v>0</v>
      </c>
      <c r="P142" s="86" t="s">
        <v>129</v>
      </c>
      <c r="Q142" s="82">
        <f t="shared" si="25"/>
        <v>2</v>
      </c>
    </row>
    <row r="143" spans="1:17" ht="20.25" customHeight="1">
      <c r="A143" s="85">
        <v>45417</v>
      </c>
      <c r="B143" s="159">
        <v>505053</v>
      </c>
      <c r="C143" s="86" t="s">
        <v>6</v>
      </c>
      <c r="D143" s="87">
        <v>45242508006</v>
      </c>
      <c r="E143" s="88" t="str">
        <f>IFERROR(VLOOKUP(D143,ProductMaster!$A:$B,2,FALSE),"")</f>
        <v>006061101</v>
      </c>
      <c r="F143" s="88" t="str">
        <f>IFERROR(VLOOKUP(D143,ProductMaster!$A:$C,3,FALSE),"")</f>
        <v>48-22-2700</v>
      </c>
      <c r="G143" s="89" t="str">
        <f>IFERROR(VLOOKUP($D143,ProductMaster!$A:$O,4,FALSE),"")</f>
        <v>ที่เปิดขวด Milwaukee</v>
      </c>
      <c r="H143" s="90">
        <v>1</v>
      </c>
      <c r="I143" s="123">
        <f>IFERROR(VLOOKUP(E143,ProductMaster!B:G,6,FALSE),0)</f>
        <v>390.65420560747663</v>
      </c>
      <c r="J143" s="123">
        <f t="shared" si="26"/>
        <v>27.35</v>
      </c>
      <c r="K143" s="123">
        <f t="shared" si="27"/>
        <v>390.65</v>
      </c>
      <c r="L143" s="91"/>
      <c r="M143" s="92" t="s">
        <v>127</v>
      </c>
      <c r="N143" s="92" t="s">
        <v>1711</v>
      </c>
      <c r="O143" s="93">
        <v>0</v>
      </c>
      <c r="P143" s="86" t="s">
        <v>129</v>
      </c>
      <c r="Q143" s="82">
        <f t="shared" si="25"/>
        <v>3</v>
      </c>
    </row>
    <row r="144" spans="1:17" ht="20.25" customHeight="1">
      <c r="A144" s="85">
        <v>45417</v>
      </c>
      <c r="B144" s="159">
        <v>505053</v>
      </c>
      <c r="C144" s="86" t="s">
        <v>6</v>
      </c>
      <c r="D144" s="87">
        <v>45242573912</v>
      </c>
      <c r="E144" s="88" t="str">
        <f>IFERROR(VLOOKUP(D144,ProductMaster!$A:$B,2,FALSE),"")</f>
        <v>006105507</v>
      </c>
      <c r="F144" s="88" t="str">
        <f>IFERROR(VLOOKUP(D144,ProductMaster!$A:$C,3,FALSE),"")</f>
        <v>48-22-1505</v>
      </c>
      <c r="G144" s="89" t="str">
        <f>IFERROR(VLOOKUP($D144,ProductMaster!$A:$O,4,FALSE),"")</f>
        <v xml:space="preserve">มีดพับอเนกประสงค์ พร้อมช่องเก็บใบมีด รุ่น FASTBACK™ 6 IN 1 </v>
      </c>
      <c r="H144" s="90">
        <v>1</v>
      </c>
      <c r="I144" s="123">
        <f>IFERROR(VLOOKUP(E144,ProductMaster!B:G,6,FALSE),0)</f>
        <v>699.06542056074761</v>
      </c>
      <c r="J144" s="123">
        <f t="shared" si="26"/>
        <v>48.93</v>
      </c>
      <c r="K144" s="123">
        <f t="shared" si="27"/>
        <v>699.07</v>
      </c>
      <c r="L144" s="91"/>
      <c r="M144" s="92" t="s">
        <v>127</v>
      </c>
      <c r="N144" s="92" t="s">
        <v>1711</v>
      </c>
      <c r="O144" s="93">
        <v>0</v>
      </c>
      <c r="P144" s="86" t="s">
        <v>129</v>
      </c>
      <c r="Q144" s="82">
        <f t="shared" si="25"/>
        <v>4</v>
      </c>
    </row>
    <row r="145" spans="1:17" ht="20.25" customHeight="1">
      <c r="A145" s="85">
        <v>45417</v>
      </c>
      <c r="B145" s="159">
        <v>505053</v>
      </c>
      <c r="C145" s="86" t="s">
        <v>6</v>
      </c>
      <c r="D145" s="87">
        <v>45242268061</v>
      </c>
      <c r="E145" s="88" t="str">
        <f>IFERROR(VLOOKUP(D145,ProductMaster!$A:$B,2,FALSE),"")</f>
        <v>129226207</v>
      </c>
      <c r="F145" s="88" t="str">
        <f>IFERROR(VLOOKUP(D145,ProductMaster!$A:$C,3,FALSE),"")</f>
        <v>48-22-1905</v>
      </c>
      <c r="G145" s="89" t="str">
        <f>IFERROR(VLOOKUP($D145,ProductMaster!$A:$O,4,FALSE),"")</f>
        <v xml:space="preserve">ใบมีดอเนกประสงค์ 5ใบ </v>
      </c>
      <c r="H145" s="90">
        <v>1</v>
      </c>
      <c r="I145" s="123">
        <f>IFERROR(VLOOKUP(E145,ProductMaster!B:G,6,FALSE),0)</f>
        <v>82.242990654205613</v>
      </c>
      <c r="J145" s="123">
        <f t="shared" si="26"/>
        <v>5.76</v>
      </c>
      <c r="K145" s="123">
        <f t="shared" si="27"/>
        <v>82.24</v>
      </c>
      <c r="L145" s="91"/>
      <c r="M145" s="92" t="s">
        <v>127</v>
      </c>
      <c r="N145" s="92" t="s">
        <v>1711</v>
      </c>
      <c r="O145" s="93">
        <v>0</v>
      </c>
      <c r="P145" s="86" t="s">
        <v>129</v>
      </c>
      <c r="Q145" s="82">
        <f t="shared" si="25"/>
        <v>5</v>
      </c>
    </row>
    <row r="146" spans="1:17" ht="20.25" customHeight="1">
      <c r="A146" s="85">
        <v>45417</v>
      </c>
      <c r="B146" s="159">
        <v>505054</v>
      </c>
      <c r="C146" s="86" t="s">
        <v>6</v>
      </c>
      <c r="D146" s="87">
        <v>4892210192462</v>
      </c>
      <c r="E146" s="88" t="str">
        <f>IFERROR(VLOOKUP(D146,ProductMaster!$A:$B,2,FALSE),"")</f>
        <v>006094410</v>
      </c>
      <c r="F146" s="88" t="str">
        <f>IFERROR(VLOOKUP(D146,ProductMaster!$A:$C,3,FALSE),"")</f>
        <v>48-73-2025A</v>
      </c>
      <c r="G146" s="89" t="str">
        <f>IFERROR(VLOOKUP($D146,ProductMaster!$A:$O,4,FALSE),"")</f>
        <v>แว่นตาเซฟตี้นิรภัย เลนส์ดำ</v>
      </c>
      <c r="H146" s="98">
        <v>1</v>
      </c>
      <c r="I146" s="123">
        <f>IFERROR(VLOOKUP(E146,ProductMaster!B:G,6,FALSE),0)</f>
        <v>474.76635514018693</v>
      </c>
      <c r="J146" s="123">
        <f t="shared" si="26"/>
        <v>33.229999999999997</v>
      </c>
      <c r="K146" s="123">
        <f t="shared" si="27"/>
        <v>474.77</v>
      </c>
      <c r="L146" s="91"/>
      <c r="M146" s="92" t="s">
        <v>127</v>
      </c>
      <c r="N146" s="92" t="s">
        <v>1711</v>
      </c>
      <c r="O146" s="93">
        <v>0</v>
      </c>
      <c r="P146" s="86" t="s">
        <v>129</v>
      </c>
      <c r="Q146" s="82">
        <f t="shared" si="25"/>
        <v>1</v>
      </c>
    </row>
    <row r="147" spans="1:17" ht="20.25" customHeight="1">
      <c r="A147" s="85">
        <v>45417</v>
      </c>
      <c r="B147" s="159">
        <v>505054</v>
      </c>
      <c r="C147" s="86" t="s">
        <v>6</v>
      </c>
      <c r="D147" s="87">
        <v>45242551453</v>
      </c>
      <c r="E147" s="88" t="str">
        <f>IFERROR(VLOOKUP(D147,ProductMaster!$A:$B,2,FALSE),"")</f>
        <v>006089001</v>
      </c>
      <c r="F147" s="88" t="str">
        <f>IFERROR(VLOOKUP(D147,ProductMaster!$A:$C,3,FALSE),"")</f>
        <v>48-22-1540</v>
      </c>
      <c r="G147" s="89" t="str">
        <f>IFERROR(VLOOKUP($D147,ProductMaster!$A:$O,4,FALSE),"")</f>
        <v xml:space="preserve">มีดพับ รุ่น FASTBACK™ 5 IN 1 </v>
      </c>
      <c r="H147" s="90">
        <v>1</v>
      </c>
      <c r="I147" s="123">
        <f>IFERROR(VLOOKUP(E147,ProductMaster!B:G,6,FALSE),0)</f>
        <v>951.40186915887853</v>
      </c>
      <c r="J147" s="123">
        <f t="shared" si="26"/>
        <v>66.599999999999994</v>
      </c>
      <c r="K147" s="123">
        <f t="shared" si="27"/>
        <v>951.4</v>
      </c>
      <c r="L147" s="91"/>
      <c r="M147" s="92" t="s">
        <v>127</v>
      </c>
      <c r="N147" s="92" t="s">
        <v>1711</v>
      </c>
      <c r="O147" s="93">
        <v>0</v>
      </c>
      <c r="P147" s="86" t="s">
        <v>129</v>
      </c>
      <c r="Q147" s="82">
        <f t="shared" si="25"/>
        <v>2</v>
      </c>
    </row>
    <row r="148" spans="1:17" ht="20.25" customHeight="1">
      <c r="A148" s="85">
        <v>45417</v>
      </c>
      <c r="B148" s="159">
        <v>505055</v>
      </c>
      <c r="C148" s="86" t="s">
        <v>6</v>
      </c>
      <c r="D148" s="87">
        <v>45242502691</v>
      </c>
      <c r="E148" s="88" t="str">
        <f>IFERROR(VLOOKUP(D148,ProductMaster!$A:$B,2,FALSE),"")</f>
        <v>076002284</v>
      </c>
      <c r="F148" s="88" t="str">
        <f>IFERROR(VLOOKUP(D148,ProductMaster!$A:$C,3,FALSE),"")</f>
        <v>48-22-7816</v>
      </c>
      <c r="G148" s="89" t="str">
        <f>IFERROR(VLOOKUP($D148,ProductMaster!$A:$O,4,FALSE),"")</f>
        <v>ตลับเมตรรุ่น RED 5 เมตร/16 ฟุต</v>
      </c>
      <c r="H148" s="90">
        <v>1</v>
      </c>
      <c r="I148" s="123">
        <f>IFERROR(VLOOKUP(E148,ProductMaster!B:G,6,FALSE),0)</f>
        <v>287.85046728971963</v>
      </c>
      <c r="J148" s="123">
        <f t="shared" si="26"/>
        <v>20.149999999999999</v>
      </c>
      <c r="K148" s="123">
        <f t="shared" si="27"/>
        <v>287.85000000000002</v>
      </c>
      <c r="L148" s="91"/>
      <c r="M148" s="92" t="s">
        <v>127</v>
      </c>
      <c r="N148" s="92" t="s">
        <v>1711</v>
      </c>
      <c r="O148" s="93">
        <v>0</v>
      </c>
      <c r="P148" s="86" t="s">
        <v>129</v>
      </c>
      <c r="Q148" s="82">
        <f t="shared" si="25"/>
        <v>1</v>
      </c>
    </row>
    <row r="149" spans="1:17" ht="20.25" customHeight="1">
      <c r="A149" s="85">
        <v>45417</v>
      </c>
      <c r="B149" s="159">
        <v>505056</v>
      </c>
      <c r="C149" s="86" t="s">
        <v>6</v>
      </c>
      <c r="D149" s="87">
        <v>45242475216</v>
      </c>
      <c r="E149" s="88" t="str">
        <f>IFERROR(VLOOKUP(D149,ProductMaster!$A:$B,2,FALSE),"")</f>
        <v>008051202</v>
      </c>
      <c r="F149" s="88" t="str">
        <f>IFERROR(VLOOKUP(D149,ProductMaster!$A:$C,3,FALSE),"")</f>
        <v>48-32-4361</v>
      </c>
      <c r="G149" s="89" t="str">
        <f>IFERROR(VLOOKUP($D149,ProductMaster!$A:$O,4,FALSE),"")</f>
        <v xml:space="preserve">ดอกไขควง PH2-65 มม. Double Ended  (10 ดอก) </v>
      </c>
      <c r="H149" s="90">
        <v>1</v>
      </c>
      <c r="I149" s="123">
        <f>IFERROR(VLOOKUP(E149,ProductMaster!B:G,6,FALSE),0)</f>
        <v>409.34579439252337</v>
      </c>
      <c r="J149" s="123">
        <f t="shared" si="26"/>
        <v>28.65</v>
      </c>
      <c r="K149" s="123">
        <f t="shared" si="27"/>
        <v>409.35</v>
      </c>
      <c r="L149" s="91"/>
      <c r="M149" s="92" t="s">
        <v>127</v>
      </c>
      <c r="N149" s="92" t="s">
        <v>1711</v>
      </c>
      <c r="O149" s="93">
        <v>0</v>
      </c>
      <c r="P149" s="86" t="s">
        <v>129</v>
      </c>
      <c r="Q149" s="82">
        <f t="shared" si="25"/>
        <v>1</v>
      </c>
    </row>
    <row r="150" spans="1:17" ht="20.25" customHeight="1">
      <c r="A150" s="85">
        <v>45417</v>
      </c>
      <c r="B150" s="159">
        <v>505056</v>
      </c>
      <c r="C150" s="86" t="s">
        <v>6</v>
      </c>
      <c r="D150" s="87">
        <v>4892210233929</v>
      </c>
      <c r="E150" s="88" t="str">
        <f>IFERROR(VLOOKUP(D150,ProductMaster!$A:$B,2,FALSE),"")</f>
        <v>008074005</v>
      </c>
      <c r="F150" s="88" t="str">
        <f>IFERROR(VLOOKUP(D150,ProductMaster!$A:$C,3,FALSE),"")</f>
        <v>49-66-7834</v>
      </c>
      <c r="G150" s="89" t="str">
        <f>IFERROR(VLOOKUP($D150,ProductMaster!$A:$O,4,FALSE),"")</f>
        <v>ชุดลูกบล็อกถอดล้อรถยนต์แกน 1/2" X 3 ชิ้น</v>
      </c>
      <c r="H150" s="90">
        <v>1</v>
      </c>
      <c r="I150" s="123">
        <f>IFERROR(VLOOKUP(E150,ProductMaster!B:G,6,FALSE),0)</f>
        <v>1110.2803738317757</v>
      </c>
      <c r="J150" s="123">
        <f t="shared" si="26"/>
        <v>77.72</v>
      </c>
      <c r="K150" s="123">
        <f t="shared" si="27"/>
        <v>1110.28</v>
      </c>
      <c r="L150" s="91"/>
      <c r="M150" s="92" t="s">
        <v>127</v>
      </c>
      <c r="N150" s="92" t="s">
        <v>1711</v>
      </c>
      <c r="O150" s="93">
        <v>0</v>
      </c>
      <c r="P150" s="86" t="s">
        <v>129</v>
      </c>
      <c r="Q150" s="82">
        <f t="shared" si="25"/>
        <v>2</v>
      </c>
    </row>
    <row r="151" spans="1:17" ht="20.25" customHeight="1">
      <c r="A151" s="85">
        <v>45417</v>
      </c>
      <c r="B151" s="159">
        <v>505057</v>
      </c>
      <c r="C151" s="86" t="s">
        <v>6</v>
      </c>
      <c r="D151" s="87">
        <v>45242630479</v>
      </c>
      <c r="E151" s="88" t="str">
        <f>IFERROR(VLOOKUP(D151,ProductMaster!$A:$B,2,FALSE),"")</f>
        <v>006151101</v>
      </c>
      <c r="F151" s="88" t="str">
        <f>IFERROR(VLOOKUP(D151,ProductMaster!$A:$C,3,FALSE),"")</f>
        <v>48-22-2903</v>
      </c>
      <c r="G151" s="89" t="str">
        <f>IFERROR(VLOOKUP($D151,ProductMaster!$A:$O,4,FALSE),"")</f>
        <v>ไขควงด้ามฟรีอเนกประสงค์ 14in1</v>
      </c>
      <c r="H151" s="90">
        <v>1</v>
      </c>
      <c r="I151" s="123">
        <f>IFERROR(VLOOKUP(E151,ProductMaster!B:G,6,FALSE),0)</f>
        <v>923.36448598130846</v>
      </c>
      <c r="J151" s="123">
        <f t="shared" si="26"/>
        <v>64.64</v>
      </c>
      <c r="K151" s="123">
        <f t="shared" si="27"/>
        <v>923.36</v>
      </c>
      <c r="L151" s="91"/>
      <c r="M151" s="92" t="s">
        <v>127</v>
      </c>
      <c r="N151" s="92" t="s">
        <v>1711</v>
      </c>
      <c r="O151" s="93">
        <v>0</v>
      </c>
      <c r="P151" s="86" t="s">
        <v>129</v>
      </c>
      <c r="Q151" s="82">
        <f t="shared" si="25"/>
        <v>1</v>
      </c>
    </row>
    <row r="152" spans="1:17" ht="20.25" customHeight="1">
      <c r="A152" s="85">
        <v>45417</v>
      </c>
      <c r="B152" s="159">
        <v>505058</v>
      </c>
      <c r="C152" s="86" t="s">
        <v>1883</v>
      </c>
      <c r="D152" s="87">
        <v>4892210211347</v>
      </c>
      <c r="E152" s="88" t="str">
        <f>IFERROR(VLOOKUP(D152,ProductMaster!$A:$B,2,FALSE),"")</f>
        <v>018626012</v>
      </c>
      <c r="F152" s="88" t="str">
        <f>IFERROR(VLOOKUP(D152,ProductMaster!$A:$C,3,FALSE),"")</f>
        <v>M18 ONEFHIWF1-0X0  ASIA</v>
      </c>
      <c r="G152" s="89" t="str">
        <f>IFERROR(VLOOKUP($D152,ProductMaster!$A:$O,4,FALSE),"")</f>
        <v>บล็อกกระแทกไร้สาย 18 โวลต์ 1" (เครื่องเปล่า)</v>
      </c>
      <c r="H152" s="90">
        <v>1</v>
      </c>
      <c r="I152" s="123">
        <f>IFERROR(VLOOKUP(E152,ProductMaster!B:G,6,FALSE),0)</f>
        <v>13727.102803738318</v>
      </c>
      <c r="J152" s="123">
        <f t="shared" si="26"/>
        <v>960.9</v>
      </c>
      <c r="K152" s="123">
        <f t="shared" si="27"/>
        <v>13727.1</v>
      </c>
      <c r="L152" s="91">
        <v>500</v>
      </c>
      <c r="M152" s="92" t="s">
        <v>1717</v>
      </c>
      <c r="N152" s="92" t="s">
        <v>1711</v>
      </c>
      <c r="O152" s="93">
        <v>0</v>
      </c>
      <c r="P152" s="86" t="s">
        <v>1709</v>
      </c>
      <c r="Q152" s="82">
        <f t="shared" si="25"/>
        <v>1</v>
      </c>
    </row>
    <row r="153" spans="1:17" ht="20.25" customHeight="1">
      <c r="A153" s="85">
        <v>45417</v>
      </c>
      <c r="B153" s="159">
        <v>505058</v>
      </c>
      <c r="C153" s="86" t="s">
        <v>1883</v>
      </c>
      <c r="D153" s="87" t="s">
        <v>1683</v>
      </c>
      <c r="E153" s="88" t="str">
        <f>IFERROR(VLOOKUP(D153,ProductMaster!$A:$B,2,FALSE),"")</f>
        <v>001998236DG9-(BF)</v>
      </c>
      <c r="F153" s="88" t="str">
        <f>IFERROR(VLOOKUP(D153,ProductMaster!$A:$C,3,FALSE),"")</f>
        <v>M18HB8ASIA-(BF)</v>
      </c>
      <c r="G153" s="89" t="str">
        <f>IFERROR(VLOOKUP($D153,ProductMaster!$A:$O,4,FALSE),"")</f>
        <v>แบตเตอรี่ 18 โวลต์ 8.0 แอมป์อาว HIGH OUTPUT</v>
      </c>
      <c r="H153" s="90">
        <v>1</v>
      </c>
      <c r="I153" s="123">
        <f>IFERROR(VLOOKUP(E153,ProductMaster!B:G,6,FALSE),0)</f>
        <v>3542.0560747663553</v>
      </c>
      <c r="J153" s="123">
        <f t="shared" si="26"/>
        <v>247.94</v>
      </c>
      <c r="K153" s="123">
        <f t="shared" si="27"/>
        <v>3542.06</v>
      </c>
      <c r="L153" s="91"/>
      <c r="M153" s="92" t="s">
        <v>1717</v>
      </c>
      <c r="N153" s="92" t="s">
        <v>1711</v>
      </c>
      <c r="O153" s="93">
        <v>0</v>
      </c>
      <c r="P153" s="86" t="s">
        <v>1709</v>
      </c>
      <c r="Q153" s="82">
        <f t="shared" si="25"/>
        <v>2</v>
      </c>
    </row>
    <row r="154" spans="1:17" ht="20.25" customHeight="1">
      <c r="A154" s="85">
        <v>45417</v>
      </c>
      <c r="B154" s="159">
        <v>505058</v>
      </c>
      <c r="C154" s="86" t="s">
        <v>1883</v>
      </c>
      <c r="D154" s="87" t="s">
        <v>1646</v>
      </c>
      <c r="E154" s="88" t="str">
        <f>IFERROR(VLOOKUP(D154,ProductMaster!$A:$B,2,FALSE),"")</f>
        <v>001997014-(BF)</v>
      </c>
      <c r="F154" s="88" t="str">
        <f>IFERROR(VLOOKUP(D154,ProductMaster!$A:$C,3,FALSE),"")</f>
        <v>M12-18FCSA-(BF)</v>
      </c>
      <c r="G154" s="89" t="str">
        <f>IFERROR(VLOOKUP($D154,ProductMaster!$A:$O,4,FALSE),"")</f>
        <v>แท่นชาร์จแบตเตอรี่ 12-18 โวลต์ แบบชาร์จเร็ว</v>
      </c>
      <c r="H154" s="90">
        <v>1</v>
      </c>
      <c r="I154" s="123">
        <f>IFERROR(VLOOKUP(E154,ProductMaster!B:G,6,FALSE),0)</f>
        <v>1766.3551401869158</v>
      </c>
      <c r="J154" s="123">
        <f t="shared" si="26"/>
        <v>123.64</v>
      </c>
      <c r="K154" s="123">
        <f t="shared" si="27"/>
        <v>1766.36</v>
      </c>
      <c r="L154" s="91"/>
      <c r="M154" s="92" t="s">
        <v>1717</v>
      </c>
      <c r="N154" s="92" t="s">
        <v>1711</v>
      </c>
      <c r="O154" s="93">
        <v>0</v>
      </c>
      <c r="P154" s="86" t="s">
        <v>1709</v>
      </c>
      <c r="Q154" s="82">
        <f t="shared" si="25"/>
        <v>3</v>
      </c>
    </row>
    <row r="155" spans="1:17" ht="20.25" customHeight="1">
      <c r="A155" s="85">
        <v>45417</v>
      </c>
      <c r="B155" s="159">
        <v>505059</v>
      </c>
      <c r="C155" s="86" t="s">
        <v>6</v>
      </c>
      <c r="D155" s="87">
        <v>45242081745</v>
      </c>
      <c r="E155" s="88" t="str">
        <f>IFERROR(VLOOKUP(D155,ProductMaster!$A:$B,2,FALSE),"")</f>
        <v>129221183</v>
      </c>
      <c r="F155" s="88" t="str">
        <f>IFERROR(VLOOKUP(D155,ProductMaster!$A:$C,3,FALSE),"")</f>
        <v>48-00-1301</v>
      </c>
      <c r="G155" s="89" t="str">
        <f>IFERROR(VLOOKUP($D155,ProductMaster!$A:$O,4,FALSE),"")</f>
        <v>ใบเลื่อยซอว์ซอลตัดแต่ง 9" Pruning 5 TPI (5 ใบ)</v>
      </c>
      <c r="H155" s="90">
        <v>1</v>
      </c>
      <c r="I155" s="123">
        <f>IFERROR(VLOOKUP(E155,ProductMaster!B:G,6,FALSE),0)</f>
        <v>568.22429906542061</v>
      </c>
      <c r="J155" s="123">
        <f t="shared" si="26"/>
        <v>39.78</v>
      </c>
      <c r="K155" s="123">
        <f t="shared" si="27"/>
        <v>568.22</v>
      </c>
      <c r="L155" s="91"/>
      <c r="M155" s="92" t="s">
        <v>127</v>
      </c>
      <c r="N155" s="92" t="s">
        <v>1711</v>
      </c>
      <c r="O155" s="93">
        <v>0</v>
      </c>
      <c r="P155" s="86" t="s">
        <v>129</v>
      </c>
      <c r="Q155" s="82">
        <f t="shared" si="25"/>
        <v>1</v>
      </c>
    </row>
    <row r="156" spans="1:17" ht="20.25" customHeight="1">
      <c r="A156" s="85">
        <v>45417</v>
      </c>
      <c r="B156" s="159">
        <v>505060</v>
      </c>
      <c r="C156" s="86" t="s">
        <v>6</v>
      </c>
      <c r="D156" s="87">
        <v>4892210183637</v>
      </c>
      <c r="E156" s="88" t="str">
        <f>IFERROR(VLOOKUP(D156,ProductMaster!$A:$B,2,FALSE),"")</f>
        <v>076002492</v>
      </c>
      <c r="F156" s="88" t="str">
        <f>IFERROR(VLOOKUP(D156,ProductMaster!$A:$C,3,FALSE),"")</f>
        <v>48-22-0616</v>
      </c>
      <c r="G156" s="89" t="str">
        <f>IFERROR(VLOOKUP($D156,ProductMaster!$A:$O,4,FALSE),"")</f>
        <v>ตลับเมตรรุ่น COMPACT MAGNETIC 5 เมตร/16 ฟุต</v>
      </c>
      <c r="H156" s="90">
        <v>1</v>
      </c>
      <c r="I156" s="123">
        <f>IFERROR(VLOOKUP(E156,ProductMaster!B:G,6,FALSE),0)</f>
        <v>633.64485981308417</v>
      </c>
      <c r="J156" s="123">
        <f t="shared" si="26"/>
        <v>44.36</v>
      </c>
      <c r="K156" s="123">
        <f t="shared" si="27"/>
        <v>633.64</v>
      </c>
      <c r="L156" s="91"/>
      <c r="M156" s="92" t="s">
        <v>127</v>
      </c>
      <c r="N156" s="92" t="s">
        <v>1711</v>
      </c>
      <c r="O156" s="93">
        <v>0</v>
      </c>
      <c r="P156" s="86" t="s">
        <v>129</v>
      </c>
      <c r="Q156" s="82">
        <f t="shared" si="25"/>
        <v>1</v>
      </c>
    </row>
    <row r="157" spans="1:17" ht="20.25" customHeight="1">
      <c r="A157" s="85">
        <v>45417</v>
      </c>
      <c r="B157" s="159">
        <v>505061</v>
      </c>
      <c r="C157" s="86" t="s">
        <v>6</v>
      </c>
      <c r="D157" s="87">
        <v>45242610273</v>
      </c>
      <c r="E157" s="88" t="str">
        <f>IFERROR(VLOOKUP(D157,ProductMaster!$A:$B,2,FALSE),"")</f>
        <v>129306823</v>
      </c>
      <c r="F157" s="88" t="str">
        <f>IFERROR(VLOOKUP(D157,ProductMaster!$A:$C,3,FALSE),"")</f>
        <v>49-90-2022</v>
      </c>
      <c r="G157" s="89" t="str">
        <f>IFERROR(VLOOKUP($D157,ProductMaster!$A:$O,4,FALSE),"")</f>
        <v>หัวดูดเก็บฝุ่น</v>
      </c>
      <c r="H157" s="90">
        <v>1</v>
      </c>
      <c r="I157" s="123">
        <f>IFERROR(VLOOKUP(E157,ProductMaster!B:G,6,FALSE),0)</f>
        <v>829.90654205607473</v>
      </c>
      <c r="J157" s="123">
        <f t="shared" si="26"/>
        <v>58.09</v>
      </c>
      <c r="K157" s="123">
        <f t="shared" si="27"/>
        <v>829.91</v>
      </c>
      <c r="L157" s="91"/>
      <c r="M157" s="92" t="s">
        <v>127</v>
      </c>
      <c r="N157" s="92" t="s">
        <v>1711</v>
      </c>
      <c r="O157" s="93">
        <v>0</v>
      </c>
      <c r="P157" s="86" t="s">
        <v>129</v>
      </c>
      <c r="Q157" s="82">
        <f t="shared" si="25"/>
        <v>1</v>
      </c>
    </row>
    <row r="158" spans="1:17" ht="20.25" customHeight="1">
      <c r="A158" s="85">
        <v>45417</v>
      </c>
      <c r="B158" s="159">
        <v>505062</v>
      </c>
      <c r="C158" s="86" t="s">
        <v>6</v>
      </c>
      <c r="D158" s="87">
        <v>45242502707</v>
      </c>
      <c r="E158" s="88" t="str">
        <f>IFERROR(VLOOKUP(D158,ProductMaster!$A:$B,2,FALSE),"")</f>
        <v>076002285</v>
      </c>
      <c r="F158" s="88" t="str">
        <f>IFERROR(VLOOKUP(D158,ProductMaster!$A:$C,3,FALSE),"")</f>
        <v>48-22-7826</v>
      </c>
      <c r="G158" s="89" t="str">
        <f>IFERROR(VLOOKUP($D158,ProductMaster!$A:$O,4,FALSE),"")</f>
        <v>ตลับเมตรรุ่น RED 8 เมตร/26 ฟุต</v>
      </c>
      <c r="H158" s="90">
        <v>1</v>
      </c>
      <c r="I158" s="123">
        <f>IFERROR(VLOOKUP(E158,ProductMaster!B:G,6,FALSE),0)</f>
        <v>353.27102803738319</v>
      </c>
      <c r="J158" s="123">
        <f t="shared" si="26"/>
        <v>24.73</v>
      </c>
      <c r="K158" s="123">
        <f t="shared" si="27"/>
        <v>353.27</v>
      </c>
      <c r="L158" s="91"/>
      <c r="M158" s="92" t="s">
        <v>127</v>
      </c>
      <c r="N158" s="92" t="s">
        <v>1711</v>
      </c>
      <c r="O158" s="93">
        <v>0</v>
      </c>
      <c r="P158" s="86" t="s">
        <v>129</v>
      </c>
      <c r="Q158" s="82">
        <f t="shared" si="25"/>
        <v>1</v>
      </c>
    </row>
    <row r="159" spans="1:17" ht="20.25" customHeight="1">
      <c r="A159" s="85">
        <v>45417</v>
      </c>
      <c r="B159" s="159">
        <v>505063</v>
      </c>
      <c r="C159" s="86" t="s">
        <v>6</v>
      </c>
      <c r="D159" s="87">
        <v>45242502684</v>
      </c>
      <c r="E159" s="88" t="str">
        <f>IFERROR(VLOOKUP(D159,ProductMaster!$A:$B,2,FALSE),"")</f>
        <v>076002283</v>
      </c>
      <c r="F159" s="88" t="str">
        <f>IFERROR(VLOOKUP(D159,ProductMaster!$A:$C,3,FALSE),"")</f>
        <v>48-22-7812</v>
      </c>
      <c r="G159" s="89" t="str">
        <f>IFERROR(VLOOKUP($D159,ProductMaster!$A:$O,4,FALSE),"")</f>
        <v>ตลับเมตรรุ่น RED 3 เมตร/10 ฟุต</v>
      </c>
      <c r="H159" s="90">
        <v>1</v>
      </c>
      <c r="I159" s="123">
        <f>IFERROR(VLOOKUP(E159,ProductMaster!B:G,6,FALSE),0)</f>
        <v>222.42990654205607</v>
      </c>
      <c r="J159" s="123">
        <f t="shared" si="26"/>
        <v>15.57</v>
      </c>
      <c r="K159" s="123">
        <f t="shared" si="27"/>
        <v>222.43</v>
      </c>
      <c r="L159" s="91"/>
      <c r="M159" s="92" t="s">
        <v>127</v>
      </c>
      <c r="N159" s="92" t="s">
        <v>1711</v>
      </c>
      <c r="O159" s="93">
        <v>0</v>
      </c>
      <c r="P159" s="86" t="s">
        <v>129</v>
      </c>
      <c r="Q159" s="82">
        <f t="shared" si="25"/>
        <v>1</v>
      </c>
    </row>
    <row r="160" spans="1:17" ht="20.25" customHeight="1">
      <c r="A160" s="85">
        <v>45417</v>
      </c>
      <c r="B160" s="159">
        <v>505063</v>
      </c>
      <c r="C160" s="86" t="s">
        <v>6</v>
      </c>
      <c r="D160" s="87">
        <v>45242502684</v>
      </c>
      <c r="E160" s="88" t="str">
        <f>IFERROR(VLOOKUP(D160,ProductMaster!$A:$B,2,FALSE),"")</f>
        <v>076002283</v>
      </c>
      <c r="F160" s="88" t="str">
        <f>IFERROR(VLOOKUP(D160,ProductMaster!$A:$C,3,FALSE),"")</f>
        <v>48-22-7812</v>
      </c>
      <c r="G160" s="89" t="str">
        <f>IFERROR(VLOOKUP($D160,ProductMaster!$A:$O,4,FALSE),"")</f>
        <v>ตลับเมตรรุ่น RED 3 เมตร/10 ฟุต</v>
      </c>
      <c r="H160" s="90">
        <v>1</v>
      </c>
      <c r="I160" s="123">
        <f>IFERROR(VLOOKUP(E160,ProductMaster!B:G,6,FALSE),0)</f>
        <v>222.42990654205607</v>
      </c>
      <c r="J160" s="123">
        <f t="shared" si="26"/>
        <v>15.57</v>
      </c>
      <c r="K160" s="123">
        <f t="shared" si="27"/>
        <v>222.43</v>
      </c>
      <c r="L160" s="91"/>
      <c r="M160" s="92" t="s">
        <v>127</v>
      </c>
      <c r="N160" s="92" t="s">
        <v>1711</v>
      </c>
      <c r="O160" s="93">
        <v>0</v>
      </c>
      <c r="P160" s="86" t="s">
        <v>129</v>
      </c>
      <c r="Q160" s="82">
        <f t="shared" si="25"/>
        <v>2</v>
      </c>
    </row>
    <row r="161" spans="1:65" s="181" customFormat="1" ht="19.5" customHeight="1">
      <c r="A161" s="154">
        <v>45417</v>
      </c>
      <c r="B161" s="155">
        <v>505064</v>
      </c>
      <c r="C161" s="156" t="s">
        <v>1891</v>
      </c>
      <c r="D161" s="157">
        <v>4892210205902</v>
      </c>
      <c r="E161" s="174" t="str">
        <f>IFERROR(VLOOKUP(D161,ProductMaster!$A:$B,2,FALSE),"")</f>
        <v>018521013</v>
      </c>
      <c r="F161" s="174" t="str">
        <f>IFERROR(VLOOKUP(D161,ProductMaster!$A:$C,3,FALSE),"")</f>
        <v>M18 FSAGV100XB-0X0</v>
      </c>
      <c r="G161" s="175" t="str">
        <f>IFERROR(VLOOKUP($D161,ProductMaster!$A:$O,4,FALSE),"")</f>
        <v>เครื่องเจียร 4" ไร้สาย 18 โวลต์ (เครื่องเปล่า)</v>
      </c>
      <c r="H161" s="176">
        <v>1</v>
      </c>
      <c r="I161" s="177">
        <f>IFERROR(VLOOKUP(E161,ProductMaster!B:G,6,FALSE),0)</f>
        <v>6437.3831775700937</v>
      </c>
      <c r="J161" s="177">
        <f t="shared" si="26"/>
        <v>450.62</v>
      </c>
      <c r="K161" s="177">
        <f t="shared" si="27"/>
        <v>6437.38</v>
      </c>
      <c r="L161" s="148"/>
      <c r="M161" s="178" t="s">
        <v>127</v>
      </c>
      <c r="N161" s="178" t="s">
        <v>1711</v>
      </c>
      <c r="O161" s="179">
        <v>0</v>
      </c>
      <c r="P161" s="156" t="s">
        <v>1709</v>
      </c>
      <c r="Q161" s="173">
        <f t="shared" si="25"/>
        <v>1</v>
      </c>
      <c r="R161" s="173" t="s">
        <v>1962</v>
      </c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</row>
    <row r="162" spans="1:65" s="181" customFormat="1" ht="20.25" customHeight="1">
      <c r="A162" s="154">
        <v>45417</v>
      </c>
      <c r="B162" s="155">
        <v>505064</v>
      </c>
      <c r="C162" s="156" t="s">
        <v>1891</v>
      </c>
      <c r="D162" s="157">
        <v>45242610273</v>
      </c>
      <c r="E162" s="174" t="str">
        <f>IFERROR(VLOOKUP(D162,ProductMaster!$A:$B,2,FALSE),"")</f>
        <v>129306823</v>
      </c>
      <c r="F162" s="174" t="str">
        <f>IFERROR(VLOOKUP(D162,ProductMaster!$A:$C,3,FALSE),"")</f>
        <v>49-90-2022</v>
      </c>
      <c r="G162" s="175" t="str">
        <f>IFERROR(VLOOKUP($D162,ProductMaster!$A:$O,4,FALSE),"")</f>
        <v>หัวดูดเก็บฝุ่น</v>
      </c>
      <c r="H162" s="176">
        <v>1</v>
      </c>
      <c r="I162" s="177">
        <f>IFERROR(VLOOKUP(E162,ProductMaster!B:G,6,FALSE),0)</f>
        <v>829.90654205607473</v>
      </c>
      <c r="J162" s="177">
        <f t="shared" si="26"/>
        <v>58.09</v>
      </c>
      <c r="K162" s="177">
        <f t="shared" si="27"/>
        <v>829.91</v>
      </c>
      <c r="L162" s="148"/>
      <c r="M162" s="178" t="s">
        <v>127</v>
      </c>
      <c r="N162" s="178" t="s">
        <v>1711</v>
      </c>
      <c r="O162" s="179">
        <v>0</v>
      </c>
      <c r="P162" s="156" t="s">
        <v>1709</v>
      </c>
      <c r="Q162" s="173">
        <f t="shared" si="25"/>
        <v>2</v>
      </c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</row>
    <row r="163" spans="1:65" s="181" customFormat="1" ht="20.25" customHeight="1">
      <c r="A163" s="154">
        <v>45417</v>
      </c>
      <c r="B163" s="155">
        <v>505064</v>
      </c>
      <c r="C163" s="156" t="s">
        <v>1891</v>
      </c>
      <c r="D163" s="157">
        <v>45242505333</v>
      </c>
      <c r="E163" s="174" t="str">
        <f>IFERROR(VLOOKUP(D163,ProductMaster!$A:$B,2,FALSE),"")</f>
        <v>129305051</v>
      </c>
      <c r="F163" s="174" t="str">
        <f>IFERROR(VLOOKUP(D163,ProductMaster!$A:$C,3,FALSE),"")</f>
        <v>48-22-8424</v>
      </c>
      <c r="G163" s="175" t="str">
        <f>IFERROR(VLOOKUP($D163,ProductMaster!$A:$O,4,FALSE),"")</f>
        <v xml:space="preserve">กล่องเครื่องมือ PACKOUT ขนาดกลาง </v>
      </c>
      <c r="H163" s="176">
        <v>1</v>
      </c>
      <c r="I163" s="177">
        <f>IFERROR(VLOOKUP(E163,ProductMaster!B:G,6,FALSE),0)</f>
        <v>3166.3551401869158</v>
      </c>
      <c r="J163" s="177">
        <f t="shared" si="26"/>
        <v>221.64</v>
      </c>
      <c r="K163" s="177">
        <f t="shared" si="27"/>
        <v>3166.36</v>
      </c>
      <c r="L163" s="148"/>
      <c r="M163" s="178" t="s">
        <v>127</v>
      </c>
      <c r="N163" s="178" t="s">
        <v>1711</v>
      </c>
      <c r="O163" s="179">
        <v>0</v>
      </c>
      <c r="P163" s="156" t="s">
        <v>1709</v>
      </c>
      <c r="Q163" s="173">
        <f t="shared" si="25"/>
        <v>3</v>
      </c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</row>
    <row r="164" spans="1:65" s="181" customFormat="1" ht="20.25" customHeight="1">
      <c r="A164" s="154">
        <v>45417</v>
      </c>
      <c r="B164" s="155">
        <v>505064</v>
      </c>
      <c r="C164" s="156" t="s">
        <v>1891</v>
      </c>
      <c r="D164" s="157">
        <v>45242082704</v>
      </c>
      <c r="E164" s="174" t="str">
        <f>IFERROR(VLOOKUP(D164,ProductMaster!$A:$B,2,FALSE),"")</f>
        <v>129221212</v>
      </c>
      <c r="F164" s="174" t="str">
        <f>IFERROR(VLOOKUP(D164,ProductMaster!$A:$C,3,FALSE),"")</f>
        <v>48-00-5036</v>
      </c>
      <c r="G164" s="175" t="str">
        <f>IFERROR(VLOOKUP($D164,ProductMaster!$A:$O,4,FALSE),"")</f>
        <v>ใบเลื่อยซอว์ซอลตัดไม้ 9" Thin Kerf  5 TPI (5 ใบ)</v>
      </c>
      <c r="H164" s="176">
        <v>1</v>
      </c>
      <c r="I164" s="177">
        <f>IFERROR(VLOOKUP(E164,ProductMaster!B:G,6,FALSE),0)</f>
        <v>857.9439252336449</v>
      </c>
      <c r="J164" s="177">
        <f t="shared" si="26"/>
        <v>60.06</v>
      </c>
      <c r="K164" s="177">
        <f t="shared" si="27"/>
        <v>857.94</v>
      </c>
      <c r="L164" s="148"/>
      <c r="M164" s="178" t="s">
        <v>127</v>
      </c>
      <c r="N164" s="178" t="s">
        <v>1711</v>
      </c>
      <c r="O164" s="179">
        <v>0</v>
      </c>
      <c r="P164" s="156" t="s">
        <v>1709</v>
      </c>
      <c r="Q164" s="173">
        <f t="shared" si="25"/>
        <v>4</v>
      </c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</row>
    <row r="165" spans="1:65" s="181" customFormat="1" ht="20.25" customHeight="1">
      <c r="A165" s="154">
        <v>45417</v>
      </c>
      <c r="B165" s="155">
        <v>505064</v>
      </c>
      <c r="C165" s="156" t="s">
        <v>1891</v>
      </c>
      <c r="D165" s="157">
        <v>45242082834</v>
      </c>
      <c r="E165" s="174" t="str">
        <f>IFERROR(VLOOKUP(D165,ProductMaster!$A:$B,2,FALSE),"")</f>
        <v>129221226</v>
      </c>
      <c r="F165" s="174" t="str">
        <f>IFERROR(VLOOKUP(D165,ProductMaster!$A:$C,3,FALSE),"")</f>
        <v>48-00-5182</v>
      </c>
      <c r="G165" s="175" t="str">
        <f>IFERROR(VLOOKUP($D165,ProductMaster!$A:$O,4,FALSE),"")</f>
        <v>ใบเลื่อยซอว์ซอลตัดเหล็ก 6" Thin Kerf 14 TPI (5 ใบ)</v>
      </c>
      <c r="H165" s="176">
        <v>1</v>
      </c>
      <c r="I165" s="177">
        <f>IFERROR(VLOOKUP(E165,ProductMaster!B:G,6,FALSE),0)</f>
        <v>409.34579439252337</v>
      </c>
      <c r="J165" s="177">
        <f t="shared" si="26"/>
        <v>28.65</v>
      </c>
      <c r="K165" s="177">
        <f t="shared" si="27"/>
        <v>409.35</v>
      </c>
      <c r="L165" s="148"/>
      <c r="M165" s="178" t="s">
        <v>127</v>
      </c>
      <c r="N165" s="178" t="s">
        <v>1711</v>
      </c>
      <c r="O165" s="179">
        <v>0</v>
      </c>
      <c r="P165" s="156" t="s">
        <v>1709</v>
      </c>
      <c r="Q165" s="173">
        <f t="shared" si="25"/>
        <v>5</v>
      </c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</row>
    <row r="166" spans="1:65" s="181" customFormat="1" ht="20.25" customHeight="1">
      <c r="A166" s="154">
        <v>45417</v>
      </c>
      <c r="B166" s="155">
        <v>505064</v>
      </c>
      <c r="C166" s="156" t="s">
        <v>1891</v>
      </c>
      <c r="D166" s="157">
        <v>4892210163752</v>
      </c>
      <c r="E166" s="174" t="str">
        <f>IFERROR(VLOOKUP(D166,ProductMaster!$A:$B,2,FALSE),"")</f>
        <v>018262012</v>
      </c>
      <c r="F166" s="174" t="str">
        <f>IFERROR(VLOOKUP(D166,ProductMaster!$A:$C,3,FALSE),"")</f>
        <v>M18 FHZ-0</v>
      </c>
      <c r="G166" s="175" t="str">
        <f>IFERROR(VLOOKUP($D166,ProductMaster!$A:$O,4,FALSE),"")</f>
        <v>เลื่อยชักอเนกประสงค์ไร้สาย 18 โวลต์ (เครื่องเปล่า)</v>
      </c>
      <c r="H166" s="176">
        <v>1</v>
      </c>
      <c r="I166" s="177">
        <f>IFERROR(VLOOKUP(E166,ProductMaster!B:G,6,FALSE),0)</f>
        <v>6250.467289719626</v>
      </c>
      <c r="J166" s="177">
        <f t="shared" si="26"/>
        <v>437.53</v>
      </c>
      <c r="K166" s="177">
        <f t="shared" si="27"/>
        <v>6250.47</v>
      </c>
      <c r="L166" s="148"/>
      <c r="M166" s="178" t="s">
        <v>127</v>
      </c>
      <c r="N166" s="178" t="s">
        <v>1711</v>
      </c>
      <c r="O166" s="179">
        <v>0</v>
      </c>
      <c r="P166" s="156" t="s">
        <v>1709</v>
      </c>
      <c r="Q166" s="173">
        <f t="shared" si="25"/>
        <v>6</v>
      </c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</row>
    <row r="167" spans="1:65" s="181" customFormat="1" ht="20.25" customHeight="1">
      <c r="A167" s="154">
        <v>45417</v>
      </c>
      <c r="B167" s="155">
        <v>505064</v>
      </c>
      <c r="C167" s="156" t="s">
        <v>1891</v>
      </c>
      <c r="D167" s="157" t="s">
        <v>1675</v>
      </c>
      <c r="E167" s="174" t="str">
        <f>IFERROR(VLOOKUP(D167,ProductMaster!$A:$B,2,FALSE),"")</f>
        <v>001998238-(BF)</v>
      </c>
      <c r="F167" s="174" t="str">
        <f>IFERROR(VLOOKUP(D167,ProductMaster!$A:$C,3,FALSE),"")</f>
        <v>M18B5ASIA-(BF)</v>
      </c>
      <c r="G167" s="175" t="str">
        <f>IFERROR(VLOOKUP($D167,ProductMaster!$A:$O,4,FALSE),"")</f>
        <v>แบตเตอรี่ 18 โวลต์ 5.0 แอมป์อาว</v>
      </c>
      <c r="H167" s="176">
        <v>1</v>
      </c>
      <c r="I167" s="177">
        <f>IFERROR(VLOOKUP(E167,ProductMaster!B:G,6,FALSE),0)</f>
        <v>1859.8130841121495</v>
      </c>
      <c r="J167" s="177">
        <f t="shared" si="26"/>
        <v>130.19</v>
      </c>
      <c r="K167" s="177">
        <f t="shared" si="27"/>
        <v>1859.81</v>
      </c>
      <c r="L167" s="148"/>
      <c r="M167" s="178" t="s">
        <v>127</v>
      </c>
      <c r="N167" s="178" t="s">
        <v>1711</v>
      </c>
      <c r="O167" s="179">
        <v>0</v>
      </c>
      <c r="P167" s="156" t="s">
        <v>1709</v>
      </c>
      <c r="Q167" s="173">
        <f t="shared" si="25"/>
        <v>7</v>
      </c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</row>
    <row r="168" spans="1:65" ht="20.25" customHeight="1">
      <c r="A168" s="85">
        <v>45417</v>
      </c>
      <c r="B168" s="159">
        <v>505065</v>
      </c>
      <c r="C168" s="86" t="s">
        <v>6</v>
      </c>
      <c r="D168" s="87">
        <v>45242531684</v>
      </c>
      <c r="E168" s="88" t="str">
        <f>IFERROR(VLOOKUP(D168,ProductMaster!$A:$B,2,FALSE),"")</f>
        <v>006082201</v>
      </c>
      <c r="F168" s="88" t="str">
        <f>IFERROR(VLOOKUP(D168,ProductMaster!$A:$C,3,FALSE),"")</f>
        <v>48-22-8301</v>
      </c>
      <c r="G168" s="89" t="str">
        <f>IFERROR(VLOOKUP($D168,ProductMaster!$A:$O,4,FALSE),"")</f>
        <v xml:space="preserve">เป้สะพายหลังใส่เครื่องมือ PACKOUT Backpack </v>
      </c>
      <c r="H168" s="90">
        <v>1</v>
      </c>
      <c r="I168" s="123">
        <f>IFERROR(VLOOKUP(E168,ProductMaster!B:G,6,FALSE),0)</f>
        <v>4287.8504672897197</v>
      </c>
      <c r="J168" s="123">
        <f t="shared" si="26"/>
        <v>300.14999999999998</v>
      </c>
      <c r="K168" s="123">
        <f t="shared" si="27"/>
        <v>4287.8500000000004</v>
      </c>
      <c r="L168" s="91"/>
      <c r="M168" s="92" t="s">
        <v>125</v>
      </c>
      <c r="N168" s="92" t="s">
        <v>1711</v>
      </c>
      <c r="O168" s="93">
        <v>0</v>
      </c>
      <c r="P168" s="86" t="s">
        <v>129</v>
      </c>
      <c r="Q168" s="82">
        <f t="shared" si="25"/>
        <v>1</v>
      </c>
    </row>
    <row r="169" spans="1:65" ht="20.25" customHeight="1">
      <c r="A169" s="85">
        <v>45417</v>
      </c>
      <c r="B169" s="159">
        <v>505066</v>
      </c>
      <c r="C169" s="86" t="s">
        <v>6</v>
      </c>
      <c r="D169" s="87">
        <v>45242520787</v>
      </c>
      <c r="E169" s="88" t="str">
        <f>IFERROR(VLOOKUP(D169,ProductMaster!$A:$B,2,FALSE),"")</f>
        <v>129305260</v>
      </c>
      <c r="F169" s="88" t="str">
        <f>IFERROR(VLOOKUP(D169,ProductMaster!$A:$C,3,FALSE),"")</f>
        <v>48-00-5202</v>
      </c>
      <c r="G169" s="89" t="str">
        <f>IFERROR(VLOOKUP($D169,ProductMaster!$A:$O,4,FALSE),"")</f>
        <v>ใบเลื่อยซอว์ซอลตัดโลหะ 9" ฟันคาร์ไบด์ 7 TPI (1 ใบ)</v>
      </c>
      <c r="H169" s="90">
        <v>1</v>
      </c>
      <c r="I169" s="123">
        <f>IFERROR(VLOOKUP(E169,ProductMaster!B:G,6,FALSE),0)</f>
        <v>1091.5887850467291</v>
      </c>
      <c r="J169" s="123">
        <f t="shared" si="26"/>
        <v>76.41</v>
      </c>
      <c r="K169" s="123">
        <f t="shared" si="27"/>
        <v>1091.5899999999999</v>
      </c>
      <c r="L169" s="91"/>
      <c r="M169" s="92" t="s">
        <v>125</v>
      </c>
      <c r="N169" s="92" t="s">
        <v>1711</v>
      </c>
      <c r="O169" s="93">
        <v>0</v>
      </c>
      <c r="P169" s="86" t="s">
        <v>129</v>
      </c>
      <c r="Q169" s="82">
        <f t="shared" si="25"/>
        <v>1</v>
      </c>
    </row>
    <row r="170" spans="1:65" ht="20.25" customHeight="1">
      <c r="A170" s="85">
        <v>45417</v>
      </c>
      <c r="B170" s="159">
        <v>505066</v>
      </c>
      <c r="C170" s="86" t="s">
        <v>6</v>
      </c>
      <c r="D170" s="87">
        <v>45242520787</v>
      </c>
      <c r="E170" s="88" t="str">
        <f>IFERROR(VLOOKUP(D170,ProductMaster!$A:$B,2,FALSE),"")</f>
        <v>129305260</v>
      </c>
      <c r="F170" s="88" t="str">
        <f>IFERROR(VLOOKUP(D170,ProductMaster!$A:$C,3,FALSE),"")</f>
        <v>48-00-5202</v>
      </c>
      <c r="G170" s="89" t="str">
        <f>IFERROR(VLOOKUP($D170,ProductMaster!$A:$O,4,FALSE),"")</f>
        <v>ใบเลื่อยซอว์ซอลตัดโลหะ 9" ฟันคาร์ไบด์ 7 TPI (1 ใบ)</v>
      </c>
      <c r="H170" s="90">
        <v>1</v>
      </c>
      <c r="I170" s="123">
        <f>IFERROR(VLOOKUP(E170,ProductMaster!B:G,6,FALSE),0)</f>
        <v>1091.5887850467291</v>
      </c>
      <c r="J170" s="123">
        <f t="shared" si="26"/>
        <v>76.41</v>
      </c>
      <c r="K170" s="123">
        <f t="shared" si="27"/>
        <v>1091.5899999999999</v>
      </c>
      <c r="L170" s="91"/>
      <c r="M170" s="92" t="s">
        <v>125</v>
      </c>
      <c r="N170" s="92" t="s">
        <v>1711</v>
      </c>
      <c r="O170" s="93">
        <v>0</v>
      </c>
      <c r="P170" s="86" t="s">
        <v>129</v>
      </c>
      <c r="Q170" s="82">
        <f t="shared" si="25"/>
        <v>2</v>
      </c>
    </row>
    <row r="171" spans="1:65" ht="20.25" customHeight="1">
      <c r="A171" s="85">
        <v>45417</v>
      </c>
      <c r="B171" s="159">
        <v>505066</v>
      </c>
      <c r="C171" s="86" t="s">
        <v>6</v>
      </c>
      <c r="D171" s="87">
        <v>45242081073</v>
      </c>
      <c r="E171" s="88" t="str">
        <f>IFERROR(VLOOKUP(D171,ProductMaster!$A:$B,2,FALSE),"")</f>
        <v>129221197</v>
      </c>
      <c r="F171" s="88" t="str">
        <f>IFERROR(VLOOKUP(D171,ProductMaster!$A:$C,3,FALSE),"")</f>
        <v>48-00-4712</v>
      </c>
      <c r="G171" s="89" t="str">
        <f>IFERROR(VLOOKUP($D171,ProductMaster!$A:$O,4,FALSE),"")</f>
        <v>ใบเลื่อยซอว์ซอลตัดเหล็ก 6" TORCH Ice Hardened  10 TPI (5 ใบ)</v>
      </c>
      <c r="H171" s="90">
        <v>1</v>
      </c>
      <c r="I171" s="123">
        <f>IFERROR(VLOOKUP(E171,ProductMaster!B:G,6,FALSE),0)</f>
        <v>512.14953271028037</v>
      </c>
      <c r="J171" s="123">
        <f t="shared" si="26"/>
        <v>35.85</v>
      </c>
      <c r="K171" s="123">
        <f t="shared" si="27"/>
        <v>512.15</v>
      </c>
      <c r="L171" s="91"/>
      <c r="M171" s="92" t="s">
        <v>125</v>
      </c>
      <c r="N171" s="92" t="s">
        <v>1711</v>
      </c>
      <c r="O171" s="93">
        <v>0</v>
      </c>
      <c r="P171" s="86" t="s">
        <v>129</v>
      </c>
      <c r="Q171" s="82">
        <f t="shared" si="25"/>
        <v>3</v>
      </c>
    </row>
    <row r="172" spans="1:65" ht="20.25" customHeight="1">
      <c r="A172" s="85">
        <v>45417</v>
      </c>
      <c r="B172" s="159">
        <v>505066</v>
      </c>
      <c r="C172" s="86" t="s">
        <v>6</v>
      </c>
      <c r="D172" s="87">
        <v>45242342181</v>
      </c>
      <c r="E172" s="88" t="str">
        <f>IFERROR(VLOOKUP(D172,ProductMaster!$A:$B,2,FALSE),"")</f>
        <v>006037501</v>
      </c>
      <c r="F172" s="88" t="str">
        <f>IFERROR(VLOOKUP(D172,ProductMaster!$A:$C,3,FALSE),"")</f>
        <v>48-22-6106</v>
      </c>
      <c r="G172" s="89" t="str">
        <f>IFERROR(VLOOKUP($D172,ProductMaster!$A:$O,4,FALSE),"")</f>
        <v>คีมตัดปากเฉียง 6"</v>
      </c>
      <c r="H172" s="90">
        <v>1</v>
      </c>
      <c r="I172" s="123">
        <f>IFERROR(VLOOKUP(E172,ProductMaster!B:G,6,FALSE),0)</f>
        <v>605.60747663551399</v>
      </c>
      <c r="J172" s="123">
        <f t="shared" si="26"/>
        <v>42.39</v>
      </c>
      <c r="K172" s="123">
        <f t="shared" si="27"/>
        <v>605.61</v>
      </c>
      <c r="L172" s="91"/>
      <c r="M172" s="92" t="s">
        <v>125</v>
      </c>
      <c r="N172" s="92" t="s">
        <v>1711</v>
      </c>
      <c r="O172" s="93">
        <v>0</v>
      </c>
      <c r="P172" s="86" t="s">
        <v>129</v>
      </c>
      <c r="Q172" s="82">
        <f t="shared" si="25"/>
        <v>4</v>
      </c>
    </row>
    <row r="173" spans="1:65" ht="20.25" customHeight="1">
      <c r="A173" s="85">
        <v>45417</v>
      </c>
      <c r="B173" s="159">
        <v>505067</v>
      </c>
      <c r="C173" s="86" t="s">
        <v>1889</v>
      </c>
      <c r="D173" s="87">
        <v>45242638796</v>
      </c>
      <c r="E173" s="88" t="str">
        <f>IFERROR(VLOOKUP(D173,ProductMaster!$A:$B,2,FALSE),"")</f>
        <v>006143201</v>
      </c>
      <c r="F173" s="88" t="str">
        <f>IFERROR(VLOOKUP(D173,ProductMaster!$A:$C,3,FALSE),"")</f>
        <v>48-22-0307</v>
      </c>
      <c r="G173" s="89" t="str">
        <f>IFERROR(VLOOKUP($D173,ProductMaster!$A:$O,4,FALSE),"")</f>
        <v>เลื่อยอเนกประสงค์แบบพับ</v>
      </c>
      <c r="H173" s="90">
        <v>1</v>
      </c>
      <c r="I173" s="123">
        <f>IFERROR(VLOOKUP(E173,ProductMaster!B:G,6,FALSE),0)</f>
        <v>829.90654205607473</v>
      </c>
      <c r="J173" s="123">
        <f t="shared" si="26"/>
        <v>58.09</v>
      </c>
      <c r="K173" s="123">
        <f t="shared" si="27"/>
        <v>829.91</v>
      </c>
      <c r="L173" s="91"/>
      <c r="M173" s="92" t="s">
        <v>123</v>
      </c>
      <c r="N173" s="92" t="s">
        <v>1711</v>
      </c>
      <c r="O173" s="93">
        <v>0</v>
      </c>
      <c r="P173" s="86" t="s">
        <v>1709</v>
      </c>
      <c r="Q173" s="82">
        <f t="shared" si="25"/>
        <v>1</v>
      </c>
    </row>
    <row r="174" spans="1:65" ht="20.25" customHeight="1">
      <c r="A174" s="85">
        <v>45417</v>
      </c>
      <c r="B174" s="159">
        <v>505067</v>
      </c>
      <c r="C174" s="86" t="s">
        <v>1889</v>
      </c>
      <c r="D174" s="87">
        <v>45242475216</v>
      </c>
      <c r="E174" s="88" t="str">
        <f>IFERROR(VLOOKUP(D174,ProductMaster!$A:$B,2,FALSE),"")</f>
        <v>008051202</v>
      </c>
      <c r="F174" s="88" t="str">
        <f>IFERROR(VLOOKUP(D174,ProductMaster!$A:$C,3,FALSE),"")</f>
        <v>48-32-4361</v>
      </c>
      <c r="G174" s="89" t="str">
        <f>IFERROR(VLOOKUP($D174,ProductMaster!$A:$O,4,FALSE),"")</f>
        <v xml:space="preserve">ดอกไขควง PH2-65 มม. Double Ended  (10 ดอก) </v>
      </c>
      <c r="H174" s="90">
        <v>1</v>
      </c>
      <c r="I174" s="123">
        <f>IFERROR(VLOOKUP(E174,ProductMaster!B:G,6,FALSE),0)</f>
        <v>409.34579439252337</v>
      </c>
      <c r="J174" s="123">
        <f t="shared" si="26"/>
        <v>28.65</v>
      </c>
      <c r="K174" s="123">
        <f t="shared" si="27"/>
        <v>409.35</v>
      </c>
      <c r="L174" s="91"/>
      <c r="M174" s="92" t="s">
        <v>123</v>
      </c>
      <c r="N174" s="92" t="s">
        <v>1711</v>
      </c>
      <c r="O174" s="93">
        <v>0</v>
      </c>
      <c r="P174" s="86" t="s">
        <v>1709</v>
      </c>
      <c r="Q174" s="82">
        <f t="shared" si="25"/>
        <v>2</v>
      </c>
    </row>
    <row r="175" spans="1:65" ht="20.25" customHeight="1">
      <c r="A175" s="85">
        <v>45417</v>
      </c>
      <c r="B175" s="159">
        <v>505067</v>
      </c>
      <c r="C175" s="86" t="s">
        <v>1889</v>
      </c>
      <c r="D175" s="87">
        <v>4058546348144</v>
      </c>
      <c r="E175" s="88" t="str">
        <f>IFERROR(VLOOKUP(D175,ProductMaster!$A:$B,2,FALSE),"")</f>
        <v>006126701</v>
      </c>
      <c r="F175" s="88">
        <f>IFERROR(VLOOKUP(D175,ProductMaster!$A:$C,3,FALSE),"")</f>
        <v>4932478621</v>
      </c>
      <c r="G175" s="89" t="str">
        <f>IFERROR(VLOOKUP($D175,ProductMaster!$A:$O,4,FALSE),"")</f>
        <v>ชุดประแจหกเหลี่ยม 9 ชิ้น</v>
      </c>
      <c r="H175" s="90">
        <v>1</v>
      </c>
      <c r="I175" s="123">
        <f>IFERROR(VLOOKUP(E175,ProductMaster!B:G,6,FALSE),0)</f>
        <v>633.64485981308417</v>
      </c>
      <c r="J175" s="123">
        <f t="shared" ref="J175:J189" si="28">ROUND(SUM(I175*7%),2)</f>
        <v>44.36</v>
      </c>
      <c r="K175" s="123">
        <f t="shared" ref="K175:K189" si="29">ROUND(SUM(H175*I175),2)</f>
        <v>633.64</v>
      </c>
      <c r="L175" s="91"/>
      <c r="M175" s="92" t="s">
        <v>123</v>
      </c>
      <c r="N175" s="92" t="s">
        <v>1711</v>
      </c>
      <c r="O175" s="93">
        <v>0</v>
      </c>
      <c r="P175" s="86" t="s">
        <v>1709</v>
      </c>
      <c r="Q175" s="82">
        <f t="shared" si="25"/>
        <v>3</v>
      </c>
    </row>
    <row r="176" spans="1:65" ht="20.25" customHeight="1">
      <c r="A176" s="85">
        <v>45417</v>
      </c>
      <c r="B176" s="159">
        <v>505067</v>
      </c>
      <c r="C176" s="86" t="s">
        <v>1889</v>
      </c>
      <c r="D176" s="87">
        <v>45242132096</v>
      </c>
      <c r="E176" s="88" t="str">
        <f>IFERROR(VLOOKUP(D176,ProductMaster!$A:$B,2,FALSE),"")</f>
        <v>129222174</v>
      </c>
      <c r="F176" s="88" t="str">
        <f>IFERROR(VLOOKUP(D176,ProductMaster!$A:$C,3,FALSE),"")</f>
        <v>48-39-0501</v>
      </c>
      <c r="G176" s="89" t="str">
        <f>IFERROR(VLOOKUP($D176,ProductMaster!$A:$O,4,FALSE),"")</f>
        <v>ใบเลื่อยสายพาน 44-7/8"  10TPI (3 ใบ)</v>
      </c>
      <c r="H176" s="90">
        <v>1</v>
      </c>
      <c r="I176" s="123">
        <f>IFERROR(VLOOKUP(E176,ProductMaster!B:G,6,FALSE),0)</f>
        <v>1166.3551401869158</v>
      </c>
      <c r="J176" s="123">
        <f t="shared" si="28"/>
        <v>81.64</v>
      </c>
      <c r="K176" s="123">
        <f t="shared" si="29"/>
        <v>1166.3599999999999</v>
      </c>
      <c r="L176" s="91"/>
      <c r="M176" s="92" t="s">
        <v>123</v>
      </c>
      <c r="N176" s="92" t="s">
        <v>1711</v>
      </c>
      <c r="O176" s="93">
        <v>0</v>
      </c>
      <c r="P176" s="86" t="s">
        <v>1709</v>
      </c>
      <c r="Q176" s="82">
        <f t="shared" si="25"/>
        <v>4</v>
      </c>
    </row>
    <row r="177" spans="1:17" ht="20.25" customHeight="1">
      <c r="A177" s="85">
        <v>45417</v>
      </c>
      <c r="B177" s="159">
        <v>505067</v>
      </c>
      <c r="C177" s="86" t="s">
        <v>1889</v>
      </c>
      <c r="D177" s="87">
        <v>45242568994</v>
      </c>
      <c r="E177" s="88" t="str">
        <f>IFERROR(VLOOKUP(D177,ProductMaster!$A:$B,2,FALSE),"")</f>
        <v>129305604</v>
      </c>
      <c r="F177" s="88" t="str">
        <f>IFERROR(VLOOKUP(D177,ProductMaster!$A:$C,3,FALSE),"")</f>
        <v>48-40-4215</v>
      </c>
      <c r="G177" s="89" t="str">
        <f>IFERROR(VLOOKUP($D177,ProductMaster!$A:$O,4,FALSE),"")</f>
        <v xml:space="preserve">ใบเลื่อยวงเดือนตัดเหล็ก 5 7/8" (149 มม.) 34 ฟัน </v>
      </c>
      <c r="H177" s="90">
        <v>1</v>
      </c>
      <c r="I177" s="123">
        <f>IFERROR(VLOOKUP(E177,ProductMaster!B:G,6,FALSE),0)</f>
        <v>1764.4859813084113</v>
      </c>
      <c r="J177" s="123">
        <f t="shared" si="28"/>
        <v>123.51</v>
      </c>
      <c r="K177" s="123">
        <f t="shared" si="29"/>
        <v>1764.49</v>
      </c>
      <c r="L177" s="91"/>
      <c r="M177" s="92" t="s">
        <v>123</v>
      </c>
      <c r="N177" s="92" t="s">
        <v>1711</v>
      </c>
      <c r="O177" s="93">
        <v>0</v>
      </c>
      <c r="P177" s="86" t="s">
        <v>1709</v>
      </c>
      <c r="Q177" s="82">
        <f t="shared" si="25"/>
        <v>5</v>
      </c>
    </row>
    <row r="178" spans="1:17" ht="20.25" customHeight="1">
      <c r="A178" s="85">
        <v>45417</v>
      </c>
      <c r="B178" s="159">
        <v>505067</v>
      </c>
      <c r="C178" s="86" t="s">
        <v>1889</v>
      </c>
      <c r="D178" s="87">
        <v>45242342242</v>
      </c>
      <c r="E178" s="88" t="str">
        <f>IFERROR(VLOOKUP(D178,ProductMaster!$A:$B,2,FALSE),"")</f>
        <v>006037903</v>
      </c>
      <c r="F178" s="88" t="str">
        <f>IFERROR(VLOOKUP(D178,ProductMaster!$A:$C,3,FALSE),"")</f>
        <v>48-22-6210</v>
      </c>
      <c r="G178" s="89" t="str">
        <f>IFERROR(VLOOKUP($D178,ProductMaster!$A:$O,4,FALSE),"")</f>
        <v xml:space="preserve">คีมคอม้าปากหกเหลี่ยม 10"  </v>
      </c>
      <c r="H178" s="90">
        <v>1</v>
      </c>
      <c r="I178" s="123">
        <f>IFERROR(VLOOKUP(E178,ProductMaster!B:G,6,FALSE),0)</f>
        <v>829.90654205607473</v>
      </c>
      <c r="J178" s="123">
        <f t="shared" si="28"/>
        <v>58.09</v>
      </c>
      <c r="K178" s="123">
        <f t="shared" si="29"/>
        <v>829.91</v>
      </c>
      <c r="L178" s="91"/>
      <c r="M178" s="92" t="s">
        <v>123</v>
      </c>
      <c r="N178" s="92" t="s">
        <v>1711</v>
      </c>
      <c r="O178" s="93">
        <v>0</v>
      </c>
      <c r="P178" s="86" t="s">
        <v>1709</v>
      </c>
      <c r="Q178" s="82">
        <f t="shared" si="25"/>
        <v>6</v>
      </c>
    </row>
    <row r="179" spans="1:17" ht="20.25" customHeight="1">
      <c r="A179" s="85">
        <v>45417</v>
      </c>
      <c r="B179" s="159">
        <v>505068</v>
      </c>
      <c r="C179" s="86" t="s">
        <v>6</v>
      </c>
      <c r="D179" s="87">
        <v>4892210183637</v>
      </c>
      <c r="E179" s="88" t="str">
        <f>IFERROR(VLOOKUP(D179,ProductMaster!$A:$B,2,FALSE),"")</f>
        <v>076002492</v>
      </c>
      <c r="F179" s="88" t="str">
        <f>IFERROR(VLOOKUP(D179,ProductMaster!$A:$C,3,FALSE),"")</f>
        <v>48-22-0616</v>
      </c>
      <c r="G179" s="89" t="str">
        <f>IFERROR(VLOOKUP($D179,ProductMaster!$A:$O,4,FALSE),"")</f>
        <v>ตลับเมตรรุ่น COMPACT MAGNETIC 5 เมตร/16 ฟุต</v>
      </c>
      <c r="H179" s="90">
        <v>1</v>
      </c>
      <c r="I179" s="123">
        <f>IFERROR(VLOOKUP(E179,ProductMaster!B:G,6,FALSE),0)</f>
        <v>633.64485981308417</v>
      </c>
      <c r="J179" s="123">
        <f t="shared" si="28"/>
        <v>44.36</v>
      </c>
      <c r="K179" s="123">
        <f t="shared" si="29"/>
        <v>633.64</v>
      </c>
      <c r="L179" s="91"/>
      <c r="M179" s="92" t="s">
        <v>127</v>
      </c>
      <c r="N179" s="92" t="s">
        <v>1711</v>
      </c>
      <c r="O179" s="93">
        <v>0</v>
      </c>
      <c r="P179" s="86" t="s">
        <v>129</v>
      </c>
      <c r="Q179" s="82">
        <f t="shared" si="25"/>
        <v>1</v>
      </c>
    </row>
    <row r="180" spans="1:17" ht="20.25" customHeight="1">
      <c r="A180" s="85">
        <v>45417</v>
      </c>
      <c r="B180" s="159">
        <v>505068</v>
      </c>
      <c r="C180" s="86" t="s">
        <v>6</v>
      </c>
      <c r="D180" s="87">
        <v>45242509188</v>
      </c>
      <c r="E180" s="88" t="str">
        <f>IFERROR(VLOOKUP(D180,ProductMaster!$A:$B,2,FALSE),"")</f>
        <v>006067601</v>
      </c>
      <c r="F180" s="88" t="str">
        <f>IFERROR(VLOOKUP(D180,ProductMaster!$A:$C,3,FALSE),"")</f>
        <v>48-22-8902</v>
      </c>
      <c r="G180" s="89" t="str">
        <f>IFERROR(VLOOKUP($D180,ProductMaster!$A:$O,4,FALSE),"")</f>
        <v xml:space="preserve">ถุงมือกันบาด Cut 1 Dipped Gloves - L </v>
      </c>
      <c r="H180" s="90">
        <v>1</v>
      </c>
      <c r="I180" s="123">
        <f>IFERROR(VLOOKUP(E180,ProductMaster!B:G,6,FALSE),0)</f>
        <v>157.00934579439252</v>
      </c>
      <c r="J180" s="123">
        <f t="shared" si="28"/>
        <v>10.99</v>
      </c>
      <c r="K180" s="123">
        <f t="shared" si="29"/>
        <v>157.01</v>
      </c>
      <c r="L180" s="91"/>
      <c r="M180" s="92" t="s">
        <v>127</v>
      </c>
      <c r="N180" s="92" t="s">
        <v>1711</v>
      </c>
      <c r="O180" s="93">
        <v>0</v>
      </c>
      <c r="P180" s="86" t="s">
        <v>129</v>
      </c>
      <c r="Q180" s="82">
        <f t="shared" si="25"/>
        <v>2</v>
      </c>
    </row>
    <row r="181" spans="1:17" ht="20.25" customHeight="1">
      <c r="A181" s="85">
        <v>45417</v>
      </c>
      <c r="B181" s="159">
        <v>505069</v>
      </c>
      <c r="C181" s="86" t="s">
        <v>1888</v>
      </c>
      <c r="D181" s="87">
        <v>45242638796</v>
      </c>
      <c r="E181" s="88" t="str">
        <f>IFERROR(VLOOKUP(D181,ProductMaster!$A:$B,2,FALSE),"")</f>
        <v>006143201</v>
      </c>
      <c r="F181" s="88" t="str">
        <f>IFERROR(VLOOKUP(D181,ProductMaster!$A:$C,3,FALSE),"")</f>
        <v>48-22-0307</v>
      </c>
      <c r="G181" s="89" t="str">
        <f>IFERROR(VLOOKUP($D181,ProductMaster!$A:$O,4,FALSE),"")</f>
        <v>เลื่อยอเนกประสงค์แบบพับ</v>
      </c>
      <c r="H181" s="90">
        <v>1</v>
      </c>
      <c r="I181" s="123">
        <f>IFERROR(VLOOKUP(E181,ProductMaster!B:G,6,FALSE),0)</f>
        <v>829.90654205607473</v>
      </c>
      <c r="J181" s="123">
        <f t="shared" si="28"/>
        <v>58.09</v>
      </c>
      <c r="K181" s="123">
        <f t="shared" si="29"/>
        <v>829.91</v>
      </c>
      <c r="L181" s="91"/>
      <c r="M181" s="92" t="s">
        <v>127</v>
      </c>
      <c r="N181" s="92" t="s">
        <v>1711</v>
      </c>
      <c r="O181" s="93">
        <v>0</v>
      </c>
      <c r="P181" s="86" t="s">
        <v>1709</v>
      </c>
      <c r="Q181" s="82">
        <f t="shared" si="25"/>
        <v>1</v>
      </c>
    </row>
    <row r="182" spans="1:17" ht="20.25" customHeight="1">
      <c r="A182" s="85">
        <v>45417</v>
      </c>
      <c r="B182" s="159">
        <v>505069</v>
      </c>
      <c r="C182" s="86" t="s">
        <v>1888</v>
      </c>
      <c r="D182" s="87">
        <v>45242342242</v>
      </c>
      <c r="E182" s="88" t="str">
        <f>IFERROR(VLOOKUP(D182,ProductMaster!$A:$B,2,FALSE),"")</f>
        <v>006037903</v>
      </c>
      <c r="F182" s="88" t="str">
        <f>IFERROR(VLOOKUP(D182,ProductMaster!$A:$C,3,FALSE),"")</f>
        <v>48-22-6210</v>
      </c>
      <c r="G182" s="89" t="str">
        <f>IFERROR(VLOOKUP($D182,ProductMaster!$A:$O,4,FALSE),"")</f>
        <v xml:space="preserve">คีมคอม้าปากหกเหลี่ยม 10"  </v>
      </c>
      <c r="H182" s="90">
        <v>1</v>
      </c>
      <c r="I182" s="123">
        <f>IFERROR(VLOOKUP(E182,ProductMaster!B:G,6,FALSE),0)</f>
        <v>829.90654205607473</v>
      </c>
      <c r="J182" s="123">
        <f t="shared" si="28"/>
        <v>58.09</v>
      </c>
      <c r="K182" s="123">
        <f t="shared" si="29"/>
        <v>829.91</v>
      </c>
      <c r="L182" s="91"/>
      <c r="M182" s="92" t="s">
        <v>127</v>
      </c>
      <c r="N182" s="92" t="s">
        <v>1711</v>
      </c>
      <c r="O182" s="93">
        <v>0</v>
      </c>
      <c r="P182" s="86" t="s">
        <v>1709</v>
      </c>
      <c r="Q182" s="82">
        <f t="shared" si="25"/>
        <v>2</v>
      </c>
    </row>
    <row r="183" spans="1:17" ht="20.25" customHeight="1">
      <c r="A183" s="85">
        <v>45417</v>
      </c>
      <c r="B183" s="159">
        <v>505069</v>
      </c>
      <c r="C183" s="86" t="s">
        <v>1888</v>
      </c>
      <c r="D183" s="87">
        <v>45242342242</v>
      </c>
      <c r="E183" s="88" t="str">
        <f>IFERROR(VLOOKUP(D183,ProductMaster!$A:$B,2,FALSE),"")</f>
        <v>006037903</v>
      </c>
      <c r="F183" s="88" t="str">
        <f>IFERROR(VLOOKUP(D183,ProductMaster!$A:$C,3,FALSE),"")</f>
        <v>48-22-6210</v>
      </c>
      <c r="G183" s="89" t="str">
        <f>IFERROR(VLOOKUP($D183,ProductMaster!$A:$O,4,FALSE),"")</f>
        <v xml:space="preserve">คีมคอม้าปากหกเหลี่ยม 10"  </v>
      </c>
      <c r="H183" s="90">
        <v>1</v>
      </c>
      <c r="I183" s="123">
        <f>IFERROR(VLOOKUP(E183,ProductMaster!B:G,6,FALSE),0)</f>
        <v>829.90654205607473</v>
      </c>
      <c r="J183" s="123">
        <f t="shared" si="28"/>
        <v>58.09</v>
      </c>
      <c r="K183" s="123">
        <f t="shared" si="29"/>
        <v>829.91</v>
      </c>
      <c r="L183" s="91"/>
      <c r="M183" s="92" t="s">
        <v>127</v>
      </c>
      <c r="N183" s="92" t="s">
        <v>1711</v>
      </c>
      <c r="O183" s="93">
        <v>0</v>
      </c>
      <c r="P183" s="86" t="s">
        <v>1709</v>
      </c>
      <c r="Q183" s="82">
        <f t="shared" si="25"/>
        <v>3</v>
      </c>
    </row>
    <row r="184" spans="1:17" ht="20.25" customHeight="1">
      <c r="A184" s="85">
        <v>45417</v>
      </c>
      <c r="B184" s="159">
        <v>505069</v>
      </c>
      <c r="C184" s="86" t="s">
        <v>1888</v>
      </c>
      <c r="D184" s="87">
        <v>45242342211</v>
      </c>
      <c r="E184" s="88" t="str">
        <f>IFERROR(VLOOKUP(D184,ProductMaster!$A:$B,2,FALSE),"")</f>
        <v>006037401</v>
      </c>
      <c r="F184" s="88" t="str">
        <f>IFERROR(VLOOKUP(D184,ProductMaster!$A:$C,3,FALSE),"")</f>
        <v>48-22-6101</v>
      </c>
      <c r="G184" s="89" t="str">
        <f>IFERROR(VLOOKUP($D184,ProductMaster!$A:$O,4,FALSE),"")</f>
        <v>คีมปากแหลม 8"</v>
      </c>
      <c r="H184" s="90">
        <v>1</v>
      </c>
      <c r="I184" s="123">
        <f>IFERROR(VLOOKUP(E184,ProductMaster!B:G,6,FALSE),0)</f>
        <v>661.68224299065423</v>
      </c>
      <c r="J184" s="123">
        <f t="shared" si="28"/>
        <v>46.32</v>
      </c>
      <c r="K184" s="123">
        <f t="shared" si="29"/>
        <v>661.68</v>
      </c>
      <c r="L184" s="91"/>
      <c r="M184" s="92" t="s">
        <v>127</v>
      </c>
      <c r="N184" s="92" t="s">
        <v>1711</v>
      </c>
      <c r="O184" s="93">
        <v>0</v>
      </c>
      <c r="P184" s="86" t="s">
        <v>1709</v>
      </c>
      <c r="Q184" s="82">
        <f t="shared" si="25"/>
        <v>4</v>
      </c>
    </row>
    <row r="185" spans="1:17" ht="20.25" customHeight="1">
      <c r="A185" s="85">
        <v>45417</v>
      </c>
      <c r="B185" s="159">
        <v>505069</v>
      </c>
      <c r="C185" s="86" t="s">
        <v>1888</v>
      </c>
      <c r="D185" s="87">
        <v>45242630585</v>
      </c>
      <c r="E185" s="88" t="str">
        <f>IFERROR(VLOOKUP(D185,ProductMaster!$A:$B,2,FALSE),"")</f>
        <v>006138701</v>
      </c>
      <c r="F185" s="88" t="str">
        <f>IFERROR(VLOOKUP(D185,ProductMaster!$A:$C,3,FALSE),"")</f>
        <v>48-22-2182</v>
      </c>
      <c r="G185" s="89" t="str">
        <f>IFERROR(VLOOKUP($D185,ProductMaster!$A:$O,4,FALSE),"")</f>
        <v>ประแจหกเหลี่ยมแบบพับเก็บ 8 ชิ้น</v>
      </c>
      <c r="H185" s="90">
        <v>1</v>
      </c>
      <c r="I185" s="123">
        <f>IFERROR(VLOOKUP(E185,ProductMaster!B:G,6,FALSE),0)</f>
        <v>549.53271028037386</v>
      </c>
      <c r="J185" s="123">
        <f t="shared" si="28"/>
        <v>38.47</v>
      </c>
      <c r="K185" s="123">
        <f t="shared" si="29"/>
        <v>549.53</v>
      </c>
      <c r="L185" s="91"/>
      <c r="M185" s="92" t="s">
        <v>127</v>
      </c>
      <c r="N185" s="92" t="s">
        <v>1711</v>
      </c>
      <c r="O185" s="93">
        <v>0</v>
      </c>
      <c r="P185" s="86" t="s">
        <v>1709</v>
      </c>
      <c r="Q185" s="82">
        <f t="shared" si="25"/>
        <v>5</v>
      </c>
    </row>
    <row r="186" spans="1:17" ht="20.25" customHeight="1">
      <c r="A186" s="85">
        <v>45417</v>
      </c>
      <c r="B186" s="159">
        <v>505069</v>
      </c>
      <c r="C186" s="86" t="s">
        <v>1888</v>
      </c>
      <c r="D186" s="87">
        <v>45242475216</v>
      </c>
      <c r="E186" s="88" t="str">
        <f>IFERROR(VLOOKUP(D186,ProductMaster!$A:$B,2,FALSE),"")</f>
        <v>008051202</v>
      </c>
      <c r="F186" s="88" t="str">
        <f>IFERROR(VLOOKUP(D186,ProductMaster!$A:$C,3,FALSE),"")</f>
        <v>48-32-4361</v>
      </c>
      <c r="G186" s="89" t="str">
        <f>IFERROR(VLOOKUP($D186,ProductMaster!$A:$O,4,FALSE),"")</f>
        <v xml:space="preserve">ดอกไขควง PH2-65 มม. Double Ended  (10 ดอก) </v>
      </c>
      <c r="H186" s="90">
        <v>1</v>
      </c>
      <c r="I186" s="123">
        <f>IFERROR(VLOOKUP(E186,ProductMaster!B:G,6,FALSE),0)</f>
        <v>409.34579439252337</v>
      </c>
      <c r="J186" s="123">
        <f t="shared" si="28"/>
        <v>28.65</v>
      </c>
      <c r="K186" s="123">
        <f t="shared" si="29"/>
        <v>409.35</v>
      </c>
      <c r="L186" s="91"/>
      <c r="M186" s="92" t="s">
        <v>127</v>
      </c>
      <c r="N186" s="92" t="s">
        <v>1711</v>
      </c>
      <c r="O186" s="93">
        <v>0</v>
      </c>
      <c r="P186" s="86" t="s">
        <v>1709</v>
      </c>
      <c r="Q186" s="82">
        <f t="shared" si="25"/>
        <v>6</v>
      </c>
    </row>
    <row r="187" spans="1:17" ht="20.25" customHeight="1">
      <c r="A187" s="85">
        <v>45417</v>
      </c>
      <c r="B187" s="159">
        <v>505069</v>
      </c>
      <c r="C187" s="86" t="s">
        <v>1888</v>
      </c>
      <c r="D187" s="87">
        <v>45242630547</v>
      </c>
      <c r="E187" s="88" t="str">
        <f>IFERROR(VLOOKUP(D187,ProductMaster!$A:$B,2,FALSE),"")</f>
        <v>006151801</v>
      </c>
      <c r="F187" s="88" t="str">
        <f>IFERROR(VLOOKUP(D187,ProductMaster!$A:$C,3,FALSE),"")</f>
        <v>48-22-2913</v>
      </c>
      <c r="G187" s="89" t="str">
        <f>IFERROR(VLOOKUP($D187,ProductMaster!$A:$O,4,FALSE),"")</f>
        <v>ไขควงด้ามฟรีอเนกประสงค์ 8in1</v>
      </c>
      <c r="H187" s="90">
        <v>1</v>
      </c>
      <c r="I187" s="123">
        <f>IFERROR(VLOOKUP(E187,ProductMaster!B:G,6,FALSE),0)</f>
        <v>829.90654205607473</v>
      </c>
      <c r="J187" s="123">
        <f t="shared" si="28"/>
        <v>58.09</v>
      </c>
      <c r="K187" s="123">
        <f t="shared" si="29"/>
        <v>829.91</v>
      </c>
      <c r="L187" s="91"/>
      <c r="M187" s="92" t="s">
        <v>127</v>
      </c>
      <c r="N187" s="92" t="s">
        <v>1711</v>
      </c>
      <c r="O187" s="93">
        <v>0</v>
      </c>
      <c r="P187" s="86" t="s">
        <v>1709</v>
      </c>
      <c r="Q187" s="82">
        <f t="shared" si="25"/>
        <v>7</v>
      </c>
    </row>
    <row r="188" spans="1:17" ht="20.25" customHeight="1">
      <c r="A188" s="85">
        <v>45417</v>
      </c>
      <c r="B188" s="159">
        <v>505069</v>
      </c>
      <c r="C188" s="86" t="s">
        <v>1888</v>
      </c>
      <c r="D188" s="87">
        <v>4892210183637</v>
      </c>
      <c r="E188" s="88" t="str">
        <f>IFERROR(VLOOKUP(D188,ProductMaster!$A:$B,2,FALSE),"")</f>
        <v>076002492</v>
      </c>
      <c r="F188" s="88" t="str">
        <f>IFERROR(VLOOKUP(D188,ProductMaster!$A:$C,3,FALSE),"")</f>
        <v>48-22-0616</v>
      </c>
      <c r="G188" s="89" t="str">
        <f>IFERROR(VLOOKUP($D188,ProductMaster!$A:$O,4,FALSE),"")</f>
        <v>ตลับเมตรรุ่น COMPACT MAGNETIC 5 เมตร/16 ฟุต</v>
      </c>
      <c r="H188" s="90">
        <v>1</v>
      </c>
      <c r="I188" s="123">
        <f>IFERROR(VLOOKUP(E188,ProductMaster!B:G,6,FALSE),0)</f>
        <v>633.64485981308417</v>
      </c>
      <c r="J188" s="123">
        <f t="shared" si="28"/>
        <v>44.36</v>
      </c>
      <c r="K188" s="123">
        <f t="shared" si="29"/>
        <v>633.64</v>
      </c>
      <c r="L188" s="91"/>
      <c r="M188" s="92" t="s">
        <v>127</v>
      </c>
      <c r="N188" s="92" t="s">
        <v>1711</v>
      </c>
      <c r="O188" s="93">
        <v>0</v>
      </c>
      <c r="P188" s="86" t="s">
        <v>1709</v>
      </c>
      <c r="Q188" s="82">
        <f t="shared" si="25"/>
        <v>8</v>
      </c>
    </row>
    <row r="189" spans="1:17" ht="20.25" customHeight="1">
      <c r="A189" s="85">
        <v>45417</v>
      </c>
      <c r="B189" s="159">
        <v>505070</v>
      </c>
      <c r="C189" s="86" t="s">
        <v>6</v>
      </c>
      <c r="D189" s="87">
        <v>45242509188</v>
      </c>
      <c r="E189" s="88" t="str">
        <f>IFERROR(VLOOKUP(D189,ProductMaster!$A:$B,2,FALSE),"")</f>
        <v>006067601</v>
      </c>
      <c r="F189" s="88" t="str">
        <f>IFERROR(VLOOKUP(D189,ProductMaster!$A:$C,3,FALSE),"")</f>
        <v>48-22-8902</v>
      </c>
      <c r="G189" s="89" t="str">
        <f>IFERROR(VLOOKUP($D189,ProductMaster!$A:$O,4,FALSE),"")</f>
        <v xml:space="preserve">ถุงมือกันบาด Cut 1 Dipped Gloves - L </v>
      </c>
      <c r="H189" s="90">
        <v>1</v>
      </c>
      <c r="I189" s="123">
        <f>IFERROR(VLOOKUP(E189,ProductMaster!B:G,6,FALSE),0)</f>
        <v>157.00934579439252</v>
      </c>
      <c r="J189" s="123">
        <f t="shared" si="28"/>
        <v>10.99</v>
      </c>
      <c r="K189" s="123">
        <f t="shared" si="29"/>
        <v>157.01</v>
      </c>
      <c r="L189" s="91"/>
      <c r="M189" s="92" t="s">
        <v>127</v>
      </c>
      <c r="N189" s="92" t="s">
        <v>1711</v>
      </c>
      <c r="O189" s="93">
        <v>0</v>
      </c>
      <c r="P189" s="86" t="s">
        <v>129</v>
      </c>
      <c r="Q189" s="82">
        <f t="shared" si="25"/>
        <v>1</v>
      </c>
    </row>
    <row r="190" spans="1:17" ht="20.25" customHeight="1">
      <c r="A190" s="85"/>
      <c r="B190" s="102"/>
      <c r="C190" s="86"/>
      <c r="D190" s="87"/>
      <c r="E190" s="88" t="str">
        <f>IFERROR(VLOOKUP(D190,ProductMaster!$A:$B,2,FALSE),"")</f>
        <v/>
      </c>
      <c r="F190" s="88" t="str">
        <f>IFERROR(VLOOKUP(D190,ProductMaster!$A:$C,3,FALSE),"")</f>
        <v/>
      </c>
      <c r="G190" s="89" t="str">
        <f>IFERROR(VLOOKUP($D190,ProductMaster!$A:$O,4,FALSE),"")</f>
        <v/>
      </c>
      <c r="H190" s="90"/>
      <c r="I190" s="123">
        <f>IFERROR(VLOOKUP(E190,ProductMaster!B:G,6,FALSE),0)</f>
        <v>0</v>
      </c>
      <c r="J190" s="123">
        <f t="shared" si="26"/>
        <v>0</v>
      </c>
      <c r="K190" s="123">
        <f t="shared" si="27"/>
        <v>0</v>
      </c>
      <c r="L190" s="91"/>
      <c r="M190" s="92"/>
      <c r="N190" s="92"/>
      <c r="O190" s="93">
        <v>0</v>
      </c>
      <c r="P190" s="86"/>
      <c r="Q190" s="82">
        <f t="shared" si="25"/>
        <v>1</v>
      </c>
    </row>
    <row r="191" spans="1:17" ht="20.25" customHeight="1">
      <c r="A191" s="85"/>
      <c r="B191" s="201"/>
      <c r="C191" s="86"/>
      <c r="D191" s="87"/>
      <c r="E191" s="88" t="str">
        <f>IFERROR(VLOOKUP(D191,ProductMaster!$A:$B,2,FALSE),"")</f>
        <v/>
      </c>
      <c r="F191" s="88" t="str">
        <f>IFERROR(VLOOKUP(D191,ProductMaster!$A:$C,3,FALSE),"")</f>
        <v/>
      </c>
      <c r="G191" s="89" t="str">
        <f>IFERROR(VLOOKUP($D191,ProductMaster!$A:$O,4,FALSE),"")</f>
        <v/>
      </c>
      <c r="H191" s="90"/>
      <c r="I191" s="123">
        <f>IFERROR(VLOOKUP(E191,ProductMaster!B:G,6,FALSE),0)</f>
        <v>0</v>
      </c>
      <c r="J191" s="123">
        <f t="shared" si="26"/>
        <v>0</v>
      </c>
      <c r="K191" s="123">
        <f t="shared" si="27"/>
        <v>0</v>
      </c>
      <c r="L191" s="91"/>
      <c r="M191" s="92"/>
      <c r="N191" s="92"/>
      <c r="O191" s="93">
        <v>0</v>
      </c>
      <c r="P191" s="86"/>
      <c r="Q191" s="82">
        <f t="shared" si="25"/>
        <v>2</v>
      </c>
    </row>
    <row r="192" spans="1:17" ht="20.25" customHeight="1">
      <c r="A192" s="85"/>
      <c r="B192" s="102"/>
      <c r="C192" s="86"/>
      <c r="D192" s="87"/>
      <c r="E192" s="88" t="str">
        <f>IFERROR(VLOOKUP(D192,ProductMaster!$A:$B,2,FALSE),"")</f>
        <v/>
      </c>
      <c r="F192" s="88" t="str">
        <f>IFERROR(VLOOKUP(D192,ProductMaster!$A:$C,3,FALSE),"")</f>
        <v/>
      </c>
      <c r="G192" s="89" t="str">
        <f>IFERROR(VLOOKUP($D192,ProductMaster!$A:$O,4,FALSE),"")</f>
        <v/>
      </c>
      <c r="H192" s="90"/>
      <c r="I192" s="123">
        <f>IFERROR(VLOOKUP(E192,ProductMaster!B:G,6,FALSE),0)</f>
        <v>0</v>
      </c>
      <c r="J192" s="123">
        <f t="shared" si="26"/>
        <v>0</v>
      </c>
      <c r="K192" s="123">
        <f t="shared" si="27"/>
        <v>0</v>
      </c>
      <c r="L192" s="91"/>
      <c r="M192" s="92"/>
      <c r="N192" s="92"/>
      <c r="O192" s="93">
        <v>0</v>
      </c>
      <c r="P192" s="86"/>
      <c r="Q192" s="82">
        <f t="shared" si="25"/>
        <v>3</v>
      </c>
    </row>
    <row r="193" spans="1:17" ht="20.25" customHeight="1">
      <c r="A193" s="85"/>
      <c r="B193" s="102"/>
      <c r="C193" s="86"/>
      <c r="D193" s="87"/>
      <c r="E193" s="88" t="str">
        <f>IFERROR(VLOOKUP(D193,ProductMaster!$A:$B,2,FALSE),"")</f>
        <v/>
      </c>
      <c r="F193" s="88" t="str">
        <f>IFERROR(VLOOKUP(D193,ProductMaster!$A:$C,3,FALSE),"")</f>
        <v/>
      </c>
      <c r="G193" s="89" t="str">
        <f>IFERROR(VLOOKUP($D193,ProductMaster!$A:$O,4,FALSE),"")</f>
        <v/>
      </c>
      <c r="H193" s="90"/>
      <c r="I193" s="123">
        <f>IFERROR(VLOOKUP(E193,ProductMaster!B:G,6,FALSE),0)</f>
        <v>0</v>
      </c>
      <c r="J193" s="123">
        <f t="shared" si="26"/>
        <v>0</v>
      </c>
      <c r="K193" s="123">
        <f t="shared" si="27"/>
        <v>0</v>
      </c>
      <c r="L193" s="91"/>
      <c r="M193" s="92"/>
      <c r="N193" s="92"/>
      <c r="O193" s="93">
        <v>0</v>
      </c>
      <c r="P193" s="86"/>
      <c r="Q193" s="82">
        <f t="shared" si="25"/>
        <v>4</v>
      </c>
    </row>
    <row r="194" spans="1:17" ht="20.25" customHeight="1">
      <c r="A194" s="85"/>
      <c r="B194" s="102"/>
      <c r="C194" s="86"/>
      <c r="D194" s="87"/>
      <c r="E194" s="88" t="str">
        <f>IFERROR(VLOOKUP(D194,ProductMaster!$A:$B,2,FALSE),"")</f>
        <v/>
      </c>
      <c r="F194" s="88" t="str">
        <f>IFERROR(VLOOKUP(D194,ProductMaster!$A:$C,3,FALSE),"")</f>
        <v/>
      </c>
      <c r="G194" s="89" t="str">
        <f>IFERROR(VLOOKUP($D194,ProductMaster!$A:$O,4,FALSE),"")</f>
        <v/>
      </c>
      <c r="H194" s="90"/>
      <c r="I194" s="123">
        <f>IFERROR(VLOOKUP(E194,ProductMaster!B:G,6,FALSE),0)</f>
        <v>0</v>
      </c>
      <c r="J194" s="123">
        <f t="shared" si="26"/>
        <v>0</v>
      </c>
      <c r="K194" s="123">
        <f t="shared" si="27"/>
        <v>0</v>
      </c>
      <c r="L194" s="91"/>
      <c r="M194" s="92"/>
      <c r="N194" s="92"/>
      <c r="O194" s="93">
        <v>0</v>
      </c>
      <c r="P194" s="86"/>
      <c r="Q194" s="82">
        <f t="shared" ref="Q194:Q257" si="30">IF(B194=B193,Q193+1,1)</f>
        <v>5</v>
      </c>
    </row>
    <row r="195" spans="1:17" ht="20.25" customHeight="1">
      <c r="A195" s="85"/>
      <c r="B195" s="102"/>
      <c r="C195" s="86"/>
      <c r="D195" s="87"/>
      <c r="E195" s="88" t="str">
        <f>IFERROR(VLOOKUP(D195,ProductMaster!$A:$B,2,FALSE),"")</f>
        <v/>
      </c>
      <c r="F195" s="88" t="str">
        <f>IFERROR(VLOOKUP(D195,ProductMaster!$A:$C,3,FALSE),"")</f>
        <v/>
      </c>
      <c r="G195" s="89" t="str">
        <f>IFERROR(VLOOKUP($D195,ProductMaster!$A:$O,4,FALSE),"")</f>
        <v/>
      </c>
      <c r="H195" s="90"/>
      <c r="I195" s="123">
        <f>IFERROR(VLOOKUP(E195,ProductMaster!B:G,6,FALSE),0)</f>
        <v>0</v>
      </c>
      <c r="J195" s="123">
        <f t="shared" ref="J195:J258" si="31">ROUND(SUM(I195*7%),2)</f>
        <v>0</v>
      </c>
      <c r="K195" s="123">
        <f t="shared" si="27"/>
        <v>0</v>
      </c>
      <c r="L195" s="91"/>
      <c r="M195" s="92"/>
      <c r="N195" s="92"/>
      <c r="O195" s="93">
        <v>0</v>
      </c>
      <c r="P195" s="86"/>
      <c r="Q195" s="82">
        <f t="shared" si="30"/>
        <v>6</v>
      </c>
    </row>
    <row r="196" spans="1:17" ht="20.25" customHeight="1">
      <c r="A196" s="85"/>
      <c r="B196" s="102"/>
      <c r="C196" s="86"/>
      <c r="D196" s="87"/>
      <c r="E196" s="88" t="str">
        <f>IFERROR(VLOOKUP(D196,ProductMaster!$A:$B,2,FALSE),"")</f>
        <v/>
      </c>
      <c r="F196" s="88" t="str">
        <f>IFERROR(VLOOKUP(D196,ProductMaster!$A:$C,3,FALSE),"")</f>
        <v/>
      </c>
      <c r="G196" s="89" t="str">
        <f>IFERROR(VLOOKUP($D196,ProductMaster!$A:$O,4,FALSE),"")</f>
        <v/>
      </c>
      <c r="H196" s="90"/>
      <c r="I196" s="123">
        <f>IFERROR(VLOOKUP(E196,ProductMaster!B:G,6,FALSE),0)</f>
        <v>0</v>
      </c>
      <c r="J196" s="123">
        <f t="shared" si="31"/>
        <v>0</v>
      </c>
      <c r="K196" s="123">
        <f t="shared" si="27"/>
        <v>0</v>
      </c>
      <c r="L196" s="91"/>
      <c r="M196" s="92"/>
      <c r="N196" s="92"/>
      <c r="O196" s="93">
        <v>0</v>
      </c>
      <c r="P196" s="86"/>
      <c r="Q196" s="82">
        <f t="shared" si="30"/>
        <v>7</v>
      </c>
    </row>
    <row r="197" spans="1:17" ht="20.25" customHeight="1">
      <c r="A197" s="85"/>
      <c r="B197" s="102"/>
      <c r="C197" s="86"/>
      <c r="D197" s="87"/>
      <c r="E197" s="88" t="str">
        <f>IFERROR(VLOOKUP(D197,ProductMaster!$A:$B,2,FALSE),"")</f>
        <v/>
      </c>
      <c r="F197" s="88" t="str">
        <f>IFERROR(VLOOKUP(D197,ProductMaster!$A:$C,3,FALSE),"")</f>
        <v/>
      </c>
      <c r="G197" s="89" t="str">
        <f>IFERROR(VLOOKUP($D197,ProductMaster!$A:$O,4,FALSE),"")</f>
        <v/>
      </c>
      <c r="H197" s="90"/>
      <c r="I197" s="123">
        <f>IFERROR(VLOOKUP(E197,ProductMaster!B:G,6,FALSE),0)</f>
        <v>0</v>
      </c>
      <c r="J197" s="123">
        <f t="shared" si="31"/>
        <v>0</v>
      </c>
      <c r="K197" s="123">
        <f t="shared" si="27"/>
        <v>0</v>
      </c>
      <c r="L197" s="91"/>
      <c r="M197" s="92"/>
      <c r="N197" s="92"/>
      <c r="O197" s="93">
        <v>0</v>
      </c>
      <c r="P197" s="86"/>
      <c r="Q197" s="82">
        <f t="shared" si="30"/>
        <v>8</v>
      </c>
    </row>
    <row r="198" spans="1:17" ht="20.25" customHeight="1">
      <c r="A198" s="85"/>
      <c r="B198" s="102"/>
      <c r="C198" s="86"/>
      <c r="D198" s="87"/>
      <c r="E198" s="88" t="str">
        <f>IFERROR(VLOOKUP(D198,ProductMaster!$A:$B,2,FALSE),"")</f>
        <v/>
      </c>
      <c r="F198" s="88" t="str">
        <f>IFERROR(VLOOKUP(D198,ProductMaster!$A:$C,3,FALSE),"")</f>
        <v/>
      </c>
      <c r="G198" s="89" t="str">
        <f>IFERROR(VLOOKUP($D198,ProductMaster!$A:$O,4,FALSE),"")</f>
        <v/>
      </c>
      <c r="H198" s="90"/>
      <c r="I198" s="123">
        <f>IFERROR(VLOOKUP(E198,ProductMaster!B:G,6,FALSE),0)</f>
        <v>0</v>
      </c>
      <c r="J198" s="123">
        <f t="shared" si="31"/>
        <v>0</v>
      </c>
      <c r="K198" s="123">
        <f t="shared" si="27"/>
        <v>0</v>
      </c>
      <c r="L198" s="91"/>
      <c r="M198" s="92"/>
      <c r="N198" s="92"/>
      <c r="O198" s="93">
        <v>0</v>
      </c>
      <c r="P198" s="86"/>
      <c r="Q198" s="82">
        <f t="shared" si="30"/>
        <v>9</v>
      </c>
    </row>
    <row r="199" spans="1:17" ht="20.25" customHeight="1">
      <c r="A199" s="85"/>
      <c r="B199" s="102"/>
      <c r="C199" s="86"/>
      <c r="D199" s="87"/>
      <c r="E199" s="88" t="str">
        <f>IFERROR(VLOOKUP(D199,ProductMaster!$A:$B,2,FALSE),"")</f>
        <v/>
      </c>
      <c r="F199" s="88" t="str">
        <f>IFERROR(VLOOKUP(D199,ProductMaster!$A:$C,3,FALSE),"")</f>
        <v/>
      </c>
      <c r="G199" s="89" t="str">
        <f>IFERROR(VLOOKUP($D199,ProductMaster!$A:$O,4,FALSE),"")</f>
        <v/>
      </c>
      <c r="H199" s="90"/>
      <c r="I199" s="123">
        <f>IFERROR(VLOOKUP(E199,ProductMaster!B:G,6,FALSE),0)</f>
        <v>0</v>
      </c>
      <c r="J199" s="123">
        <f t="shared" si="31"/>
        <v>0</v>
      </c>
      <c r="K199" s="123">
        <f t="shared" si="27"/>
        <v>0</v>
      </c>
      <c r="L199" s="91"/>
      <c r="M199" s="92"/>
      <c r="N199" s="92"/>
      <c r="O199" s="93">
        <v>0</v>
      </c>
      <c r="P199" s="86"/>
      <c r="Q199" s="82">
        <f t="shared" si="30"/>
        <v>10</v>
      </c>
    </row>
    <row r="200" spans="1:17" ht="20.25" customHeight="1">
      <c r="A200" s="85"/>
      <c r="B200" s="102"/>
      <c r="C200" s="86"/>
      <c r="D200" s="87"/>
      <c r="E200" s="88" t="str">
        <f>IFERROR(VLOOKUP(D200,ProductMaster!$A:$B,2,FALSE),"")</f>
        <v/>
      </c>
      <c r="F200" s="88" t="str">
        <f>IFERROR(VLOOKUP(D200,ProductMaster!$A:$C,3,FALSE),"")</f>
        <v/>
      </c>
      <c r="G200" s="89" t="str">
        <f>IFERROR(VLOOKUP($D200,ProductMaster!$A:$O,4,FALSE),"")</f>
        <v/>
      </c>
      <c r="H200" s="90"/>
      <c r="I200" s="123">
        <f>IFERROR(VLOOKUP(E200,ProductMaster!B:G,6,FALSE),0)</f>
        <v>0</v>
      </c>
      <c r="J200" s="123">
        <f t="shared" si="31"/>
        <v>0</v>
      </c>
      <c r="K200" s="123">
        <f t="shared" si="27"/>
        <v>0</v>
      </c>
      <c r="L200" s="91"/>
      <c r="M200" s="92"/>
      <c r="N200" s="92"/>
      <c r="O200" s="93">
        <v>0</v>
      </c>
      <c r="P200" s="86"/>
      <c r="Q200" s="82">
        <f t="shared" si="30"/>
        <v>11</v>
      </c>
    </row>
    <row r="201" spans="1:17" ht="20.25" customHeight="1">
      <c r="A201" s="85"/>
      <c r="B201" s="102"/>
      <c r="C201" s="86"/>
      <c r="D201" s="87"/>
      <c r="E201" s="88" t="str">
        <f>IFERROR(VLOOKUP(D201,ProductMaster!$A:$B,2,FALSE),"")</f>
        <v/>
      </c>
      <c r="F201" s="88" t="str">
        <f>IFERROR(VLOOKUP(D201,ProductMaster!$A:$C,3,FALSE),"")</f>
        <v/>
      </c>
      <c r="G201" s="89" t="str">
        <f>IFERROR(VLOOKUP($D201,ProductMaster!$A:$O,4,FALSE),"")</f>
        <v/>
      </c>
      <c r="H201" s="90"/>
      <c r="I201" s="123">
        <f>IFERROR(VLOOKUP(E201,ProductMaster!B:G,6,FALSE),0)</f>
        <v>0</v>
      </c>
      <c r="J201" s="123">
        <f t="shared" si="31"/>
        <v>0</v>
      </c>
      <c r="K201" s="123">
        <f t="shared" si="27"/>
        <v>0</v>
      </c>
      <c r="L201" s="91"/>
      <c r="M201" s="92"/>
      <c r="N201" s="92"/>
      <c r="O201" s="93">
        <v>0</v>
      </c>
      <c r="P201" s="86"/>
      <c r="Q201" s="82">
        <f t="shared" si="30"/>
        <v>12</v>
      </c>
    </row>
    <row r="202" spans="1:17" ht="20.25" customHeight="1">
      <c r="A202" s="85"/>
      <c r="B202" s="102"/>
      <c r="C202" s="86"/>
      <c r="D202" s="87"/>
      <c r="E202" s="88" t="str">
        <f>IFERROR(VLOOKUP(D202,ProductMaster!$A:$B,2,FALSE),"")</f>
        <v/>
      </c>
      <c r="F202" s="88" t="str">
        <f>IFERROR(VLOOKUP(D202,ProductMaster!$A:$C,3,FALSE),"")</f>
        <v/>
      </c>
      <c r="G202" s="89" t="str">
        <f>IFERROR(VLOOKUP($D202,ProductMaster!$A:$O,4,FALSE),"")</f>
        <v/>
      </c>
      <c r="H202" s="90"/>
      <c r="I202" s="123">
        <f>IFERROR(VLOOKUP(E202,ProductMaster!B:G,6,FALSE),0)</f>
        <v>0</v>
      </c>
      <c r="J202" s="123">
        <f t="shared" si="31"/>
        <v>0</v>
      </c>
      <c r="K202" s="123">
        <f t="shared" ref="K202:K265" si="32">ROUND(SUM(H202*I202),2)</f>
        <v>0</v>
      </c>
      <c r="L202" s="91"/>
      <c r="M202" s="92"/>
      <c r="N202" s="92"/>
      <c r="O202" s="93">
        <v>0</v>
      </c>
      <c r="P202" s="86"/>
      <c r="Q202" s="82">
        <f t="shared" si="30"/>
        <v>13</v>
      </c>
    </row>
    <row r="203" spans="1:17" ht="20.25" customHeight="1">
      <c r="A203" s="85"/>
      <c r="B203" s="102"/>
      <c r="C203" s="86"/>
      <c r="D203" s="87"/>
      <c r="E203" s="88" t="str">
        <f>IFERROR(VLOOKUP(D203,ProductMaster!$A:$B,2,FALSE),"")</f>
        <v/>
      </c>
      <c r="F203" s="88" t="str">
        <f>IFERROR(VLOOKUP(D203,ProductMaster!$A:$C,3,FALSE),"")</f>
        <v/>
      </c>
      <c r="G203" s="89" t="str">
        <f>IFERROR(VLOOKUP($D203,ProductMaster!$A:$O,4,FALSE),"")</f>
        <v/>
      </c>
      <c r="H203" s="90"/>
      <c r="I203" s="123">
        <f>IFERROR(VLOOKUP(E203,ProductMaster!B:G,6,FALSE),0)</f>
        <v>0</v>
      </c>
      <c r="J203" s="123">
        <f t="shared" si="31"/>
        <v>0</v>
      </c>
      <c r="K203" s="123">
        <f t="shared" si="32"/>
        <v>0</v>
      </c>
      <c r="L203" s="91"/>
      <c r="M203" s="92"/>
      <c r="N203" s="92"/>
      <c r="O203" s="93">
        <v>0</v>
      </c>
      <c r="P203" s="86"/>
      <c r="Q203" s="82">
        <f t="shared" si="30"/>
        <v>14</v>
      </c>
    </row>
    <row r="204" spans="1:17" ht="20.25" customHeight="1">
      <c r="A204" s="85"/>
      <c r="B204" s="102"/>
      <c r="C204" s="86"/>
      <c r="D204" s="87"/>
      <c r="E204" s="88" t="str">
        <f>IFERROR(VLOOKUP(D204,ProductMaster!$A:$B,2,FALSE),"")</f>
        <v/>
      </c>
      <c r="F204" s="88" t="str">
        <f>IFERROR(VLOOKUP(D204,ProductMaster!$A:$C,3,FALSE),"")</f>
        <v/>
      </c>
      <c r="G204" s="89" t="str">
        <f>IFERROR(VLOOKUP($D204,ProductMaster!$A:$O,4,FALSE),"")</f>
        <v/>
      </c>
      <c r="H204" s="90"/>
      <c r="I204" s="123">
        <f>IFERROR(VLOOKUP(E204,ProductMaster!B:G,6,FALSE),0)</f>
        <v>0</v>
      </c>
      <c r="J204" s="123">
        <f t="shared" si="31"/>
        <v>0</v>
      </c>
      <c r="K204" s="123">
        <f t="shared" si="32"/>
        <v>0</v>
      </c>
      <c r="L204" s="91"/>
      <c r="M204" s="92"/>
      <c r="N204" s="92"/>
      <c r="O204" s="93">
        <v>0</v>
      </c>
      <c r="P204" s="86"/>
      <c r="Q204" s="82">
        <f t="shared" si="30"/>
        <v>15</v>
      </c>
    </row>
    <row r="205" spans="1:17" ht="20.25" customHeight="1">
      <c r="A205" s="85"/>
      <c r="B205" s="102"/>
      <c r="C205" s="86"/>
      <c r="D205" s="87"/>
      <c r="E205" s="88" t="str">
        <f>IFERROR(VLOOKUP(D205,ProductMaster!$A:$B,2,FALSE),"")</f>
        <v/>
      </c>
      <c r="F205" s="88" t="str">
        <f>IFERROR(VLOOKUP(D205,ProductMaster!$A:$C,3,FALSE),"")</f>
        <v/>
      </c>
      <c r="G205" s="89" t="str">
        <f>IFERROR(VLOOKUP($D205,ProductMaster!$A:$O,4,FALSE),"")</f>
        <v/>
      </c>
      <c r="H205" s="90"/>
      <c r="I205" s="123">
        <f>IFERROR(VLOOKUP(E205,ProductMaster!B:G,6,FALSE),0)</f>
        <v>0</v>
      </c>
      <c r="J205" s="123">
        <f t="shared" si="31"/>
        <v>0</v>
      </c>
      <c r="K205" s="123">
        <f t="shared" si="32"/>
        <v>0</v>
      </c>
      <c r="L205" s="91"/>
      <c r="M205" s="92"/>
      <c r="N205" s="92"/>
      <c r="O205" s="93">
        <v>0</v>
      </c>
      <c r="P205" s="86"/>
      <c r="Q205" s="82">
        <f t="shared" si="30"/>
        <v>16</v>
      </c>
    </row>
    <row r="206" spans="1:17" ht="20.25" customHeight="1">
      <c r="A206" s="85"/>
      <c r="B206" s="102"/>
      <c r="C206" s="86"/>
      <c r="D206" s="87"/>
      <c r="E206" s="88" t="str">
        <f>IFERROR(VLOOKUP(D206,ProductMaster!$A:$B,2,FALSE),"")</f>
        <v/>
      </c>
      <c r="F206" s="88" t="str">
        <f>IFERROR(VLOOKUP(D206,ProductMaster!$A:$C,3,FALSE),"")</f>
        <v/>
      </c>
      <c r="G206" s="89" t="str">
        <f>IFERROR(VLOOKUP($D206,ProductMaster!$A:$O,4,FALSE),"")</f>
        <v/>
      </c>
      <c r="H206" s="90"/>
      <c r="I206" s="123">
        <f>IFERROR(VLOOKUP(E206,ProductMaster!B:G,6,FALSE),0)</f>
        <v>0</v>
      </c>
      <c r="J206" s="123">
        <f t="shared" si="31"/>
        <v>0</v>
      </c>
      <c r="K206" s="123">
        <f t="shared" si="32"/>
        <v>0</v>
      </c>
      <c r="L206" s="91"/>
      <c r="M206" s="92"/>
      <c r="N206" s="92"/>
      <c r="O206" s="93">
        <v>0</v>
      </c>
      <c r="P206" s="86"/>
      <c r="Q206" s="82">
        <f t="shared" si="30"/>
        <v>17</v>
      </c>
    </row>
    <row r="207" spans="1:17" ht="20.25" customHeight="1">
      <c r="A207" s="85"/>
      <c r="B207" s="102"/>
      <c r="C207" s="86"/>
      <c r="D207" s="87"/>
      <c r="E207" s="88" t="str">
        <f>IFERROR(VLOOKUP(D207,ProductMaster!$A:$B,2,FALSE),"")</f>
        <v/>
      </c>
      <c r="F207" s="88" t="str">
        <f>IFERROR(VLOOKUP(D207,ProductMaster!$A:$C,3,FALSE),"")</f>
        <v/>
      </c>
      <c r="G207" s="89" t="str">
        <f>IFERROR(VLOOKUP($D207,ProductMaster!$A:$O,4,FALSE),"")</f>
        <v/>
      </c>
      <c r="H207" s="90"/>
      <c r="I207" s="123">
        <f>IFERROR(VLOOKUP(E207,ProductMaster!B:G,6,FALSE),0)</f>
        <v>0</v>
      </c>
      <c r="J207" s="123">
        <f t="shared" si="31"/>
        <v>0</v>
      </c>
      <c r="K207" s="123">
        <f t="shared" si="32"/>
        <v>0</v>
      </c>
      <c r="L207" s="91"/>
      <c r="M207" s="92"/>
      <c r="N207" s="92"/>
      <c r="O207" s="93">
        <v>0</v>
      </c>
      <c r="P207" s="86"/>
      <c r="Q207" s="82">
        <f t="shared" si="30"/>
        <v>18</v>
      </c>
    </row>
    <row r="208" spans="1:17" ht="20.25" customHeight="1">
      <c r="A208" s="85"/>
      <c r="B208" s="102"/>
      <c r="C208" s="86"/>
      <c r="D208" s="87"/>
      <c r="E208" s="88" t="str">
        <f>IFERROR(VLOOKUP(D208,ProductMaster!$A:$B,2,FALSE),"")</f>
        <v/>
      </c>
      <c r="F208" s="88" t="str">
        <f>IFERROR(VLOOKUP(D208,ProductMaster!$A:$C,3,FALSE),"")</f>
        <v/>
      </c>
      <c r="G208" s="89" t="str">
        <f>IFERROR(VLOOKUP($D208,ProductMaster!$A:$O,4,FALSE),"")</f>
        <v/>
      </c>
      <c r="H208" s="90"/>
      <c r="I208" s="123">
        <f>IFERROR(VLOOKUP(E208,ProductMaster!B:G,6,FALSE),0)</f>
        <v>0</v>
      </c>
      <c r="J208" s="123">
        <f t="shared" si="31"/>
        <v>0</v>
      </c>
      <c r="K208" s="123">
        <f t="shared" si="32"/>
        <v>0</v>
      </c>
      <c r="L208" s="91"/>
      <c r="M208" s="92"/>
      <c r="N208" s="92"/>
      <c r="O208" s="93">
        <v>0</v>
      </c>
      <c r="P208" s="86"/>
      <c r="Q208" s="82">
        <f t="shared" si="30"/>
        <v>19</v>
      </c>
    </row>
    <row r="209" spans="1:17" ht="20.25" customHeight="1">
      <c r="A209" s="85"/>
      <c r="B209" s="102"/>
      <c r="C209" s="86"/>
      <c r="D209" s="87"/>
      <c r="E209" s="88" t="str">
        <f>IFERROR(VLOOKUP(D209,ProductMaster!$A:$B,2,FALSE),"")</f>
        <v/>
      </c>
      <c r="F209" s="88" t="str">
        <f>IFERROR(VLOOKUP(D209,ProductMaster!$A:$C,3,FALSE),"")</f>
        <v/>
      </c>
      <c r="G209" s="89" t="str">
        <f>IFERROR(VLOOKUP($D209,ProductMaster!$A:$O,4,FALSE),"")</f>
        <v/>
      </c>
      <c r="H209" s="90"/>
      <c r="I209" s="123">
        <f>IFERROR(VLOOKUP(E209,ProductMaster!B:G,6,FALSE),0)</f>
        <v>0</v>
      </c>
      <c r="J209" s="123">
        <f t="shared" si="31"/>
        <v>0</v>
      </c>
      <c r="K209" s="123">
        <f t="shared" si="32"/>
        <v>0</v>
      </c>
      <c r="L209" s="91"/>
      <c r="M209" s="92"/>
      <c r="N209" s="92"/>
      <c r="O209" s="93">
        <v>0</v>
      </c>
      <c r="P209" s="86"/>
      <c r="Q209" s="82">
        <f t="shared" si="30"/>
        <v>20</v>
      </c>
    </row>
    <row r="210" spans="1:17" ht="20.25" customHeight="1">
      <c r="A210" s="85"/>
      <c r="B210" s="102"/>
      <c r="C210" s="86"/>
      <c r="D210" s="87"/>
      <c r="E210" s="88" t="str">
        <f>IFERROR(VLOOKUP(D210,ProductMaster!$A:$B,2,FALSE),"")</f>
        <v/>
      </c>
      <c r="F210" s="88" t="str">
        <f>IFERROR(VLOOKUP(D210,ProductMaster!$A:$C,3,FALSE),"")</f>
        <v/>
      </c>
      <c r="G210" s="89" t="str">
        <f>IFERROR(VLOOKUP($D210,ProductMaster!$A:$O,4,FALSE),"")</f>
        <v/>
      </c>
      <c r="H210" s="90"/>
      <c r="I210" s="123">
        <f>IFERROR(VLOOKUP(E210,ProductMaster!B:G,6,FALSE),0)</f>
        <v>0</v>
      </c>
      <c r="J210" s="123">
        <f t="shared" si="31"/>
        <v>0</v>
      </c>
      <c r="K210" s="123">
        <f t="shared" si="32"/>
        <v>0</v>
      </c>
      <c r="L210" s="91"/>
      <c r="M210" s="92"/>
      <c r="N210" s="92"/>
      <c r="O210" s="93">
        <v>0</v>
      </c>
      <c r="P210" s="86"/>
      <c r="Q210" s="82">
        <f t="shared" si="30"/>
        <v>21</v>
      </c>
    </row>
    <row r="211" spans="1:17" ht="20.25" customHeight="1">
      <c r="A211" s="85"/>
      <c r="B211" s="102"/>
      <c r="C211" s="86"/>
      <c r="D211" s="87"/>
      <c r="E211" s="88" t="str">
        <f>IFERROR(VLOOKUP(D211,ProductMaster!$A:$B,2,FALSE),"")</f>
        <v/>
      </c>
      <c r="F211" s="88" t="str">
        <f>IFERROR(VLOOKUP(D211,ProductMaster!$A:$C,3,FALSE),"")</f>
        <v/>
      </c>
      <c r="G211" s="89" t="str">
        <f>IFERROR(VLOOKUP($D211,ProductMaster!$A:$O,4,FALSE),"")</f>
        <v/>
      </c>
      <c r="H211" s="90"/>
      <c r="I211" s="123">
        <f>IFERROR(VLOOKUP(E211,ProductMaster!B:G,6,FALSE),0)</f>
        <v>0</v>
      </c>
      <c r="J211" s="123">
        <f t="shared" si="31"/>
        <v>0</v>
      </c>
      <c r="K211" s="123">
        <f t="shared" si="32"/>
        <v>0</v>
      </c>
      <c r="L211" s="91"/>
      <c r="M211" s="92"/>
      <c r="N211" s="92"/>
      <c r="O211" s="93">
        <v>0</v>
      </c>
      <c r="P211" s="86"/>
      <c r="Q211" s="82">
        <f t="shared" si="30"/>
        <v>22</v>
      </c>
    </row>
    <row r="212" spans="1:17" ht="20.25" customHeight="1">
      <c r="A212" s="85"/>
      <c r="B212" s="102"/>
      <c r="C212" s="86"/>
      <c r="D212" s="87"/>
      <c r="E212" s="88" t="str">
        <f>IFERROR(VLOOKUP(D212,ProductMaster!$A:$B,2,FALSE),"")</f>
        <v/>
      </c>
      <c r="F212" s="88" t="str">
        <f>IFERROR(VLOOKUP(D212,ProductMaster!$A:$C,3,FALSE),"")</f>
        <v/>
      </c>
      <c r="G212" s="89" t="str">
        <f>IFERROR(VLOOKUP($D212,ProductMaster!$A:$O,4,FALSE),"")</f>
        <v/>
      </c>
      <c r="H212" s="90"/>
      <c r="I212" s="123">
        <f>IFERROR(VLOOKUP(E212,ProductMaster!B:G,6,FALSE),0)</f>
        <v>0</v>
      </c>
      <c r="J212" s="123">
        <f t="shared" si="31"/>
        <v>0</v>
      </c>
      <c r="K212" s="123">
        <f t="shared" si="32"/>
        <v>0</v>
      </c>
      <c r="L212" s="91"/>
      <c r="M212" s="92"/>
      <c r="N212" s="92"/>
      <c r="O212" s="93">
        <v>0</v>
      </c>
      <c r="P212" s="86"/>
      <c r="Q212" s="82">
        <f t="shared" si="30"/>
        <v>23</v>
      </c>
    </row>
    <row r="213" spans="1:17" ht="20.25" customHeight="1">
      <c r="A213" s="85"/>
      <c r="B213" s="102"/>
      <c r="C213" s="86"/>
      <c r="D213" s="87"/>
      <c r="E213" s="88" t="str">
        <f>IFERROR(VLOOKUP(D213,ProductMaster!$A:$B,2,FALSE),"")</f>
        <v/>
      </c>
      <c r="F213" s="88" t="str">
        <f>IFERROR(VLOOKUP(D213,ProductMaster!$A:$C,3,FALSE),"")</f>
        <v/>
      </c>
      <c r="G213" s="89" t="str">
        <f>IFERROR(VLOOKUP($D213,ProductMaster!$A:$O,4,FALSE),"")</f>
        <v/>
      </c>
      <c r="H213" s="90"/>
      <c r="I213" s="123">
        <f>IFERROR(VLOOKUP(E213,ProductMaster!B:G,6,FALSE),0)</f>
        <v>0</v>
      </c>
      <c r="J213" s="123">
        <f t="shared" si="31"/>
        <v>0</v>
      </c>
      <c r="K213" s="123">
        <f t="shared" si="32"/>
        <v>0</v>
      </c>
      <c r="L213" s="91"/>
      <c r="M213" s="92"/>
      <c r="N213" s="92"/>
      <c r="O213" s="93">
        <v>0</v>
      </c>
      <c r="P213" s="86"/>
      <c r="Q213" s="82">
        <f t="shared" si="30"/>
        <v>24</v>
      </c>
    </row>
    <row r="214" spans="1:17" ht="20.25" customHeight="1">
      <c r="A214" s="85"/>
      <c r="B214" s="102"/>
      <c r="C214" s="86"/>
      <c r="D214" s="87"/>
      <c r="E214" s="88" t="str">
        <f>IFERROR(VLOOKUP(D214,ProductMaster!$A:$B,2,FALSE),"")</f>
        <v/>
      </c>
      <c r="F214" s="88" t="str">
        <f>IFERROR(VLOOKUP(D214,ProductMaster!$A:$C,3,FALSE),"")</f>
        <v/>
      </c>
      <c r="G214" s="89" t="str">
        <f>IFERROR(VLOOKUP($D214,ProductMaster!$A:$O,4,FALSE),"")</f>
        <v/>
      </c>
      <c r="H214" s="90"/>
      <c r="I214" s="123">
        <f>IFERROR(VLOOKUP(E214,ProductMaster!B:G,6,FALSE),0)</f>
        <v>0</v>
      </c>
      <c r="J214" s="123">
        <f t="shared" si="31"/>
        <v>0</v>
      </c>
      <c r="K214" s="123">
        <f t="shared" si="32"/>
        <v>0</v>
      </c>
      <c r="L214" s="91"/>
      <c r="M214" s="92"/>
      <c r="N214" s="92"/>
      <c r="O214" s="93">
        <v>0</v>
      </c>
      <c r="P214" s="86"/>
      <c r="Q214" s="82">
        <f t="shared" si="30"/>
        <v>25</v>
      </c>
    </row>
    <row r="215" spans="1:17" ht="20.25" customHeight="1">
      <c r="A215" s="85"/>
      <c r="B215" s="102"/>
      <c r="C215" s="86"/>
      <c r="D215" s="87"/>
      <c r="E215" s="88" t="str">
        <f>IFERROR(VLOOKUP(D215,ProductMaster!$A:$B,2,FALSE),"")</f>
        <v/>
      </c>
      <c r="F215" s="88" t="str">
        <f>IFERROR(VLOOKUP(D215,ProductMaster!$A:$C,3,FALSE),"")</f>
        <v/>
      </c>
      <c r="G215" s="89" t="str">
        <f>IFERROR(VLOOKUP($D215,ProductMaster!$A:$O,4,FALSE),"")</f>
        <v/>
      </c>
      <c r="H215" s="90"/>
      <c r="I215" s="123">
        <f>IFERROR(VLOOKUP(E215,ProductMaster!B:G,6,FALSE),0)</f>
        <v>0</v>
      </c>
      <c r="J215" s="123">
        <f t="shared" si="31"/>
        <v>0</v>
      </c>
      <c r="K215" s="123">
        <f t="shared" si="32"/>
        <v>0</v>
      </c>
      <c r="L215" s="91"/>
      <c r="M215" s="92"/>
      <c r="N215" s="92"/>
      <c r="O215" s="93">
        <v>0</v>
      </c>
      <c r="P215" s="86"/>
      <c r="Q215" s="82">
        <f t="shared" si="30"/>
        <v>26</v>
      </c>
    </row>
    <row r="216" spans="1:17" ht="20.25" customHeight="1">
      <c r="A216" s="85"/>
      <c r="B216" s="102"/>
      <c r="C216" s="86"/>
      <c r="D216" s="87"/>
      <c r="E216" s="88" t="str">
        <f>IFERROR(VLOOKUP(D216,ProductMaster!$A:$B,2,FALSE),"")</f>
        <v/>
      </c>
      <c r="F216" s="88" t="str">
        <f>IFERROR(VLOOKUP(D216,ProductMaster!$A:$C,3,FALSE),"")</f>
        <v/>
      </c>
      <c r="G216" s="89" t="str">
        <f>IFERROR(VLOOKUP($D216,ProductMaster!$A:$O,4,FALSE),"")</f>
        <v/>
      </c>
      <c r="H216" s="90"/>
      <c r="I216" s="123">
        <f>IFERROR(VLOOKUP(E216,ProductMaster!B:G,6,FALSE),0)</f>
        <v>0</v>
      </c>
      <c r="J216" s="123">
        <f t="shared" si="31"/>
        <v>0</v>
      </c>
      <c r="K216" s="123">
        <f t="shared" si="32"/>
        <v>0</v>
      </c>
      <c r="L216" s="91"/>
      <c r="M216" s="92"/>
      <c r="N216" s="92"/>
      <c r="O216" s="93">
        <v>0</v>
      </c>
      <c r="P216" s="86"/>
      <c r="Q216" s="82">
        <f t="shared" si="30"/>
        <v>27</v>
      </c>
    </row>
    <row r="217" spans="1:17" ht="20.25" customHeight="1">
      <c r="A217" s="85"/>
      <c r="B217" s="102"/>
      <c r="C217" s="86"/>
      <c r="D217" s="87"/>
      <c r="E217" s="88" t="str">
        <f>IFERROR(VLOOKUP(D217,ProductMaster!$A:$B,2,FALSE),"")</f>
        <v/>
      </c>
      <c r="F217" s="88" t="str">
        <f>IFERROR(VLOOKUP(D217,ProductMaster!$A:$C,3,FALSE),"")</f>
        <v/>
      </c>
      <c r="G217" s="89" t="str">
        <f>IFERROR(VLOOKUP($D217,ProductMaster!$A:$O,4,FALSE),"")</f>
        <v/>
      </c>
      <c r="H217" s="90"/>
      <c r="I217" s="123">
        <f>IFERROR(VLOOKUP(E217,ProductMaster!B:G,6,FALSE),0)</f>
        <v>0</v>
      </c>
      <c r="J217" s="123">
        <f t="shared" si="31"/>
        <v>0</v>
      </c>
      <c r="K217" s="123">
        <f t="shared" si="32"/>
        <v>0</v>
      </c>
      <c r="L217" s="91"/>
      <c r="M217" s="92"/>
      <c r="N217" s="92"/>
      <c r="O217" s="93">
        <v>0</v>
      </c>
      <c r="P217" s="86"/>
      <c r="Q217" s="82">
        <f t="shared" si="30"/>
        <v>28</v>
      </c>
    </row>
    <row r="218" spans="1:17" ht="20.25" customHeight="1">
      <c r="A218" s="85"/>
      <c r="B218" s="102"/>
      <c r="C218" s="86"/>
      <c r="D218" s="87"/>
      <c r="E218" s="88" t="str">
        <f>IFERROR(VLOOKUP(D218,ProductMaster!$A:$B,2,FALSE),"")</f>
        <v/>
      </c>
      <c r="F218" s="88" t="str">
        <f>IFERROR(VLOOKUP(D218,ProductMaster!$A:$C,3,FALSE),"")</f>
        <v/>
      </c>
      <c r="G218" s="89" t="str">
        <f>IFERROR(VLOOKUP($D218,ProductMaster!$A:$O,4,FALSE),"")</f>
        <v/>
      </c>
      <c r="H218" s="90"/>
      <c r="I218" s="123">
        <f>IFERROR(VLOOKUP(E218,ProductMaster!B:G,6,FALSE),0)</f>
        <v>0</v>
      </c>
      <c r="J218" s="123">
        <f t="shared" si="31"/>
        <v>0</v>
      </c>
      <c r="K218" s="123">
        <f t="shared" si="32"/>
        <v>0</v>
      </c>
      <c r="L218" s="91"/>
      <c r="M218" s="92"/>
      <c r="N218" s="92"/>
      <c r="O218" s="93">
        <v>0</v>
      </c>
      <c r="P218" s="86"/>
      <c r="Q218" s="82">
        <f t="shared" si="30"/>
        <v>29</v>
      </c>
    </row>
    <row r="219" spans="1:17" ht="20.25" customHeight="1">
      <c r="A219" s="85"/>
      <c r="B219" s="102"/>
      <c r="C219" s="86"/>
      <c r="D219" s="87"/>
      <c r="E219" s="88" t="str">
        <f>IFERROR(VLOOKUP(D219,ProductMaster!$A:$B,2,FALSE),"")</f>
        <v/>
      </c>
      <c r="F219" s="88" t="str">
        <f>IFERROR(VLOOKUP(D219,ProductMaster!$A:$C,3,FALSE),"")</f>
        <v/>
      </c>
      <c r="G219" s="89" t="str">
        <f>IFERROR(VLOOKUP($D219,ProductMaster!$A:$O,4,FALSE),"")</f>
        <v/>
      </c>
      <c r="H219" s="90"/>
      <c r="I219" s="123">
        <f>IFERROR(VLOOKUP(E219,ProductMaster!B:G,6,FALSE),0)</f>
        <v>0</v>
      </c>
      <c r="J219" s="123">
        <f t="shared" si="31"/>
        <v>0</v>
      </c>
      <c r="K219" s="123">
        <f t="shared" si="32"/>
        <v>0</v>
      </c>
      <c r="L219" s="91"/>
      <c r="M219" s="92"/>
      <c r="N219" s="92"/>
      <c r="O219" s="93">
        <v>0</v>
      </c>
      <c r="P219" s="86"/>
      <c r="Q219" s="82">
        <f t="shared" si="30"/>
        <v>30</v>
      </c>
    </row>
    <row r="220" spans="1:17" ht="20.25" customHeight="1">
      <c r="A220" s="85"/>
      <c r="B220" s="102"/>
      <c r="C220" s="86"/>
      <c r="D220" s="87"/>
      <c r="E220" s="88" t="str">
        <f>IFERROR(VLOOKUP(D220,ProductMaster!$A:$B,2,FALSE),"")</f>
        <v/>
      </c>
      <c r="F220" s="88" t="str">
        <f>IFERROR(VLOOKUP(D220,ProductMaster!$A:$C,3,FALSE),"")</f>
        <v/>
      </c>
      <c r="G220" s="89" t="str">
        <f>IFERROR(VLOOKUP($D220,ProductMaster!$A:$O,4,FALSE),"")</f>
        <v/>
      </c>
      <c r="H220" s="90"/>
      <c r="I220" s="123">
        <f>IFERROR(VLOOKUP(E220,ProductMaster!B:G,6,FALSE),0)</f>
        <v>0</v>
      </c>
      <c r="J220" s="123">
        <f t="shared" si="31"/>
        <v>0</v>
      </c>
      <c r="K220" s="123">
        <f t="shared" si="32"/>
        <v>0</v>
      </c>
      <c r="L220" s="91"/>
      <c r="M220" s="92"/>
      <c r="N220" s="92"/>
      <c r="O220" s="93">
        <v>0</v>
      </c>
      <c r="P220" s="86"/>
      <c r="Q220" s="82">
        <f t="shared" si="30"/>
        <v>31</v>
      </c>
    </row>
    <row r="221" spans="1:17" ht="20.25" customHeight="1">
      <c r="A221" s="85"/>
      <c r="B221" s="102"/>
      <c r="C221" s="86"/>
      <c r="D221" s="87"/>
      <c r="E221" s="88" t="str">
        <f>IFERROR(VLOOKUP(D221,ProductMaster!$A:$B,2,FALSE),"")</f>
        <v/>
      </c>
      <c r="F221" s="88" t="str">
        <f>IFERROR(VLOOKUP(D221,ProductMaster!$A:$C,3,FALSE),"")</f>
        <v/>
      </c>
      <c r="G221" s="89" t="str">
        <f>IFERROR(VLOOKUP($D221,ProductMaster!$A:$O,4,FALSE),"")</f>
        <v/>
      </c>
      <c r="H221" s="90"/>
      <c r="I221" s="123">
        <f>IFERROR(VLOOKUP(E221,ProductMaster!B:G,6,FALSE),0)</f>
        <v>0</v>
      </c>
      <c r="J221" s="123">
        <f t="shared" si="31"/>
        <v>0</v>
      </c>
      <c r="K221" s="123">
        <f t="shared" si="32"/>
        <v>0</v>
      </c>
      <c r="L221" s="91"/>
      <c r="M221" s="92"/>
      <c r="N221" s="92"/>
      <c r="O221" s="93">
        <v>0</v>
      </c>
      <c r="P221" s="86"/>
      <c r="Q221" s="82">
        <f t="shared" si="30"/>
        <v>32</v>
      </c>
    </row>
    <row r="222" spans="1:17" ht="20.25" customHeight="1">
      <c r="A222" s="85"/>
      <c r="B222" s="102"/>
      <c r="C222" s="86"/>
      <c r="D222" s="87"/>
      <c r="E222" s="88" t="str">
        <f>IFERROR(VLOOKUP(D222,ProductMaster!$A:$B,2,FALSE),"")</f>
        <v/>
      </c>
      <c r="F222" s="88" t="str">
        <f>IFERROR(VLOOKUP(D222,ProductMaster!$A:$C,3,FALSE),"")</f>
        <v/>
      </c>
      <c r="G222" s="89" t="str">
        <f>IFERROR(VLOOKUP($D222,ProductMaster!$A:$O,4,FALSE),"")</f>
        <v/>
      </c>
      <c r="H222" s="90"/>
      <c r="I222" s="123">
        <f>IFERROR(VLOOKUP(E222,ProductMaster!B:G,6,FALSE),0)</f>
        <v>0</v>
      </c>
      <c r="J222" s="123">
        <f t="shared" si="31"/>
        <v>0</v>
      </c>
      <c r="K222" s="123">
        <f t="shared" si="32"/>
        <v>0</v>
      </c>
      <c r="L222" s="91"/>
      <c r="M222" s="92"/>
      <c r="N222" s="92"/>
      <c r="O222" s="93">
        <v>0</v>
      </c>
      <c r="P222" s="86"/>
      <c r="Q222" s="82">
        <f t="shared" si="30"/>
        <v>33</v>
      </c>
    </row>
    <row r="223" spans="1:17" ht="20.25" customHeight="1">
      <c r="A223" s="85"/>
      <c r="B223" s="102"/>
      <c r="C223" s="86"/>
      <c r="D223" s="87"/>
      <c r="E223" s="88" t="str">
        <f>IFERROR(VLOOKUP(D223,ProductMaster!$A:$B,2,FALSE),"")</f>
        <v/>
      </c>
      <c r="F223" s="88" t="str">
        <f>IFERROR(VLOOKUP(D223,ProductMaster!$A:$C,3,FALSE),"")</f>
        <v/>
      </c>
      <c r="G223" s="89" t="str">
        <f>IFERROR(VLOOKUP($D223,ProductMaster!$A:$O,4,FALSE),"")</f>
        <v/>
      </c>
      <c r="H223" s="90"/>
      <c r="I223" s="123">
        <f>IFERROR(VLOOKUP(E223,ProductMaster!B:G,6,FALSE),0)</f>
        <v>0</v>
      </c>
      <c r="J223" s="123">
        <f t="shared" si="31"/>
        <v>0</v>
      </c>
      <c r="K223" s="123">
        <f t="shared" si="32"/>
        <v>0</v>
      </c>
      <c r="L223" s="91"/>
      <c r="M223" s="92"/>
      <c r="N223" s="92"/>
      <c r="O223" s="93">
        <v>0</v>
      </c>
      <c r="P223" s="86"/>
      <c r="Q223" s="82">
        <f t="shared" si="30"/>
        <v>34</v>
      </c>
    </row>
    <row r="224" spans="1:17" ht="20.25" customHeight="1">
      <c r="A224" s="85"/>
      <c r="B224" s="102"/>
      <c r="C224" s="86"/>
      <c r="D224" s="87"/>
      <c r="E224" s="88" t="str">
        <f>IFERROR(VLOOKUP(D224,ProductMaster!$A:$B,2,FALSE),"")</f>
        <v/>
      </c>
      <c r="F224" s="88" t="str">
        <f>IFERROR(VLOOKUP(D224,ProductMaster!$A:$C,3,FALSE),"")</f>
        <v/>
      </c>
      <c r="G224" s="89" t="str">
        <f>IFERROR(VLOOKUP($D224,ProductMaster!$A:$O,4,FALSE),"")</f>
        <v/>
      </c>
      <c r="H224" s="90"/>
      <c r="I224" s="123">
        <f>IFERROR(VLOOKUP(E224,ProductMaster!B:G,6,FALSE),0)</f>
        <v>0</v>
      </c>
      <c r="J224" s="123">
        <f t="shared" si="31"/>
        <v>0</v>
      </c>
      <c r="K224" s="123">
        <f t="shared" si="32"/>
        <v>0</v>
      </c>
      <c r="L224" s="91"/>
      <c r="M224" s="92"/>
      <c r="N224" s="92"/>
      <c r="O224" s="93">
        <v>0</v>
      </c>
      <c r="P224" s="86"/>
      <c r="Q224" s="82">
        <f t="shared" si="30"/>
        <v>35</v>
      </c>
    </row>
    <row r="225" spans="1:17" ht="20.25" customHeight="1">
      <c r="A225" s="85"/>
      <c r="B225" s="102"/>
      <c r="C225" s="86"/>
      <c r="D225" s="87"/>
      <c r="E225" s="88" t="str">
        <f>IFERROR(VLOOKUP(D225,ProductMaster!$A:$B,2,FALSE),"")</f>
        <v/>
      </c>
      <c r="F225" s="88" t="str">
        <f>IFERROR(VLOOKUP(D225,ProductMaster!$A:$C,3,FALSE),"")</f>
        <v/>
      </c>
      <c r="G225" s="89" t="str">
        <f>IFERROR(VLOOKUP($D225,ProductMaster!$A:$O,4,FALSE),"")</f>
        <v/>
      </c>
      <c r="H225" s="90"/>
      <c r="I225" s="123">
        <f>IFERROR(VLOOKUP(E225,ProductMaster!B:G,6,FALSE),0)</f>
        <v>0</v>
      </c>
      <c r="J225" s="123">
        <f t="shared" si="31"/>
        <v>0</v>
      </c>
      <c r="K225" s="123">
        <f t="shared" si="32"/>
        <v>0</v>
      </c>
      <c r="L225" s="91"/>
      <c r="M225" s="92"/>
      <c r="N225" s="92"/>
      <c r="O225" s="93">
        <v>0</v>
      </c>
      <c r="P225" s="86"/>
      <c r="Q225" s="82">
        <f t="shared" si="30"/>
        <v>36</v>
      </c>
    </row>
    <row r="226" spans="1:17" ht="20.25" customHeight="1">
      <c r="A226" s="85"/>
      <c r="B226" s="102"/>
      <c r="C226" s="86"/>
      <c r="D226" s="87"/>
      <c r="E226" s="88" t="str">
        <f>IFERROR(VLOOKUP(D226,ProductMaster!$A:$B,2,FALSE),"")</f>
        <v/>
      </c>
      <c r="F226" s="88" t="str">
        <f>IFERROR(VLOOKUP(D226,ProductMaster!$A:$C,3,FALSE),"")</f>
        <v/>
      </c>
      <c r="G226" s="89" t="str">
        <f>IFERROR(VLOOKUP($D226,ProductMaster!$A:$O,4,FALSE),"")</f>
        <v/>
      </c>
      <c r="H226" s="90"/>
      <c r="I226" s="123">
        <f>IFERROR(VLOOKUP(E226,ProductMaster!B:G,6,FALSE),0)</f>
        <v>0</v>
      </c>
      <c r="J226" s="123">
        <f t="shared" si="31"/>
        <v>0</v>
      </c>
      <c r="K226" s="123">
        <f t="shared" si="32"/>
        <v>0</v>
      </c>
      <c r="L226" s="91"/>
      <c r="M226" s="92"/>
      <c r="N226" s="92"/>
      <c r="O226" s="93">
        <v>0</v>
      </c>
      <c r="P226" s="86"/>
      <c r="Q226" s="82">
        <f t="shared" si="30"/>
        <v>37</v>
      </c>
    </row>
    <row r="227" spans="1:17" ht="20.25" customHeight="1">
      <c r="A227" s="85"/>
      <c r="B227" s="102"/>
      <c r="C227" s="86"/>
      <c r="D227" s="87"/>
      <c r="E227" s="88" t="str">
        <f>IFERROR(VLOOKUP(D227,ProductMaster!$A:$B,2,FALSE),"")</f>
        <v/>
      </c>
      <c r="F227" s="88" t="str">
        <f>IFERROR(VLOOKUP(D227,ProductMaster!$A:$C,3,FALSE),"")</f>
        <v/>
      </c>
      <c r="G227" s="89" t="str">
        <f>IFERROR(VLOOKUP($D227,ProductMaster!$A:$O,4,FALSE),"")</f>
        <v/>
      </c>
      <c r="H227" s="90"/>
      <c r="I227" s="123">
        <f>IFERROR(VLOOKUP(E227,ProductMaster!B:G,6,FALSE),0)</f>
        <v>0</v>
      </c>
      <c r="J227" s="123">
        <f t="shared" si="31"/>
        <v>0</v>
      </c>
      <c r="K227" s="123">
        <f t="shared" si="32"/>
        <v>0</v>
      </c>
      <c r="L227" s="91"/>
      <c r="M227" s="92"/>
      <c r="N227" s="92"/>
      <c r="O227" s="93">
        <v>0</v>
      </c>
      <c r="P227" s="86"/>
      <c r="Q227" s="82">
        <f t="shared" si="30"/>
        <v>38</v>
      </c>
    </row>
    <row r="228" spans="1:17" ht="20.25" customHeight="1">
      <c r="A228" s="85"/>
      <c r="B228" s="102"/>
      <c r="C228" s="86"/>
      <c r="D228" s="87"/>
      <c r="E228" s="88" t="str">
        <f>IFERROR(VLOOKUP(D228,ProductMaster!$A:$B,2,FALSE),"")</f>
        <v/>
      </c>
      <c r="F228" s="88" t="str">
        <f>IFERROR(VLOOKUP(D228,ProductMaster!$A:$C,3,FALSE),"")</f>
        <v/>
      </c>
      <c r="G228" s="89" t="str">
        <f>IFERROR(VLOOKUP($D228,ProductMaster!$A:$O,4,FALSE),"")</f>
        <v/>
      </c>
      <c r="H228" s="90"/>
      <c r="I228" s="123">
        <f>IFERROR(VLOOKUP(E228,ProductMaster!B:G,6,FALSE),0)</f>
        <v>0</v>
      </c>
      <c r="J228" s="123">
        <f t="shared" si="31"/>
        <v>0</v>
      </c>
      <c r="K228" s="123">
        <f t="shared" si="32"/>
        <v>0</v>
      </c>
      <c r="L228" s="91"/>
      <c r="M228" s="92"/>
      <c r="N228" s="92"/>
      <c r="O228" s="93">
        <v>0</v>
      </c>
      <c r="P228" s="86"/>
      <c r="Q228" s="82">
        <f t="shared" si="30"/>
        <v>39</v>
      </c>
    </row>
    <row r="229" spans="1:17" ht="20.25" customHeight="1">
      <c r="A229" s="85"/>
      <c r="B229" s="102"/>
      <c r="C229" s="86"/>
      <c r="D229" s="87"/>
      <c r="E229" s="88" t="str">
        <f>IFERROR(VLOOKUP(D229,ProductMaster!$A:$B,2,FALSE),"")</f>
        <v/>
      </c>
      <c r="F229" s="88" t="str">
        <f>IFERROR(VLOOKUP(D229,ProductMaster!$A:$C,3,FALSE),"")</f>
        <v/>
      </c>
      <c r="G229" s="89" t="str">
        <f>IFERROR(VLOOKUP($D229,ProductMaster!$A:$O,4,FALSE),"")</f>
        <v/>
      </c>
      <c r="H229" s="90"/>
      <c r="I229" s="123">
        <f>IFERROR(VLOOKUP(E229,ProductMaster!B:G,6,FALSE),0)</f>
        <v>0</v>
      </c>
      <c r="J229" s="123">
        <f t="shared" si="31"/>
        <v>0</v>
      </c>
      <c r="K229" s="123">
        <f t="shared" si="32"/>
        <v>0</v>
      </c>
      <c r="L229" s="91"/>
      <c r="M229" s="92"/>
      <c r="N229" s="92"/>
      <c r="O229" s="93">
        <v>0</v>
      </c>
      <c r="P229" s="86"/>
      <c r="Q229" s="82">
        <f t="shared" si="30"/>
        <v>40</v>
      </c>
    </row>
    <row r="230" spans="1:17" ht="20.25" customHeight="1">
      <c r="A230" s="85"/>
      <c r="B230" s="102"/>
      <c r="C230" s="86"/>
      <c r="D230" s="87"/>
      <c r="E230" s="88" t="str">
        <f>IFERROR(VLOOKUP(D230,ProductMaster!$A:$B,2,FALSE),"")</f>
        <v/>
      </c>
      <c r="F230" s="88" t="str">
        <f>IFERROR(VLOOKUP(D230,ProductMaster!$A:$C,3,FALSE),"")</f>
        <v/>
      </c>
      <c r="G230" s="89" t="str">
        <f>IFERROR(VLOOKUP($D230,ProductMaster!$A:$O,4,FALSE),"")</f>
        <v/>
      </c>
      <c r="H230" s="90"/>
      <c r="I230" s="123">
        <f>IFERROR(VLOOKUP(E230,ProductMaster!B:G,6,FALSE),0)</f>
        <v>0</v>
      </c>
      <c r="J230" s="123">
        <f t="shared" si="31"/>
        <v>0</v>
      </c>
      <c r="K230" s="123">
        <f t="shared" si="32"/>
        <v>0</v>
      </c>
      <c r="L230" s="91"/>
      <c r="M230" s="92"/>
      <c r="N230" s="92"/>
      <c r="O230" s="93">
        <v>0</v>
      </c>
      <c r="P230" s="86"/>
      <c r="Q230" s="82">
        <f t="shared" si="30"/>
        <v>41</v>
      </c>
    </row>
    <row r="231" spans="1:17" ht="20.25" customHeight="1">
      <c r="A231" s="85"/>
      <c r="B231" s="102"/>
      <c r="C231" s="86"/>
      <c r="D231" s="87"/>
      <c r="E231" s="88" t="str">
        <f>IFERROR(VLOOKUP(D231,ProductMaster!$A:$B,2,FALSE),"")</f>
        <v/>
      </c>
      <c r="F231" s="88" t="str">
        <f>IFERROR(VLOOKUP(D231,ProductMaster!$A:$C,3,FALSE),"")</f>
        <v/>
      </c>
      <c r="G231" s="89" t="str">
        <f>IFERROR(VLOOKUP($D231,ProductMaster!$A:$O,4,FALSE),"")</f>
        <v/>
      </c>
      <c r="H231" s="90"/>
      <c r="I231" s="123">
        <f>IFERROR(VLOOKUP(E231,ProductMaster!B:G,6,FALSE),0)</f>
        <v>0</v>
      </c>
      <c r="J231" s="123">
        <f t="shared" si="31"/>
        <v>0</v>
      </c>
      <c r="K231" s="123">
        <f t="shared" si="32"/>
        <v>0</v>
      </c>
      <c r="L231" s="91"/>
      <c r="M231" s="92"/>
      <c r="N231" s="92"/>
      <c r="O231" s="93">
        <v>0</v>
      </c>
      <c r="P231" s="86"/>
      <c r="Q231" s="82">
        <f t="shared" si="30"/>
        <v>42</v>
      </c>
    </row>
    <row r="232" spans="1:17" ht="20.25" customHeight="1">
      <c r="A232" s="85"/>
      <c r="B232" s="102"/>
      <c r="C232" s="86"/>
      <c r="D232" s="87"/>
      <c r="E232" s="88" t="str">
        <f>IFERROR(VLOOKUP(D232,ProductMaster!$A:$B,2,FALSE),"")</f>
        <v/>
      </c>
      <c r="F232" s="88" t="str">
        <f>IFERROR(VLOOKUP(D232,ProductMaster!$A:$C,3,FALSE),"")</f>
        <v/>
      </c>
      <c r="G232" s="89" t="str">
        <f>IFERROR(VLOOKUP($D232,ProductMaster!$A:$O,4,FALSE),"")</f>
        <v/>
      </c>
      <c r="H232" s="90"/>
      <c r="I232" s="123">
        <f>IFERROR(VLOOKUP(E232,ProductMaster!B:G,6,FALSE),0)</f>
        <v>0</v>
      </c>
      <c r="J232" s="123">
        <f t="shared" si="31"/>
        <v>0</v>
      </c>
      <c r="K232" s="123">
        <f t="shared" si="32"/>
        <v>0</v>
      </c>
      <c r="L232" s="91"/>
      <c r="M232" s="92"/>
      <c r="N232" s="92"/>
      <c r="O232" s="93">
        <v>0</v>
      </c>
      <c r="P232" s="86"/>
      <c r="Q232" s="82">
        <f t="shared" si="30"/>
        <v>43</v>
      </c>
    </row>
    <row r="233" spans="1:17" ht="20.25" customHeight="1">
      <c r="A233" s="85"/>
      <c r="B233" s="102"/>
      <c r="C233" s="86"/>
      <c r="D233" s="87"/>
      <c r="E233" s="88" t="str">
        <f>IFERROR(VLOOKUP(D233,ProductMaster!$A:$B,2,FALSE),"")</f>
        <v/>
      </c>
      <c r="F233" s="88" t="str">
        <f>IFERROR(VLOOKUP(D233,ProductMaster!$A:$C,3,FALSE),"")</f>
        <v/>
      </c>
      <c r="G233" s="89" t="str">
        <f>IFERROR(VLOOKUP($D233,ProductMaster!$A:$O,4,FALSE),"")</f>
        <v/>
      </c>
      <c r="H233" s="90"/>
      <c r="I233" s="123">
        <f>IFERROR(VLOOKUP(E233,ProductMaster!B:G,6,FALSE),0)</f>
        <v>0</v>
      </c>
      <c r="J233" s="123">
        <f t="shared" si="31"/>
        <v>0</v>
      </c>
      <c r="K233" s="123">
        <f t="shared" si="32"/>
        <v>0</v>
      </c>
      <c r="L233" s="91"/>
      <c r="M233" s="92"/>
      <c r="N233" s="92"/>
      <c r="O233" s="93">
        <v>0</v>
      </c>
      <c r="P233" s="86"/>
      <c r="Q233" s="82">
        <f t="shared" si="30"/>
        <v>44</v>
      </c>
    </row>
    <row r="234" spans="1:17" ht="20.25" customHeight="1">
      <c r="A234" s="85"/>
      <c r="B234" s="102"/>
      <c r="C234" s="86"/>
      <c r="D234" s="87"/>
      <c r="E234" s="88" t="str">
        <f>IFERROR(VLOOKUP(D234,ProductMaster!$A:$B,2,FALSE),"")</f>
        <v/>
      </c>
      <c r="F234" s="88" t="str">
        <f>IFERROR(VLOOKUP(D234,ProductMaster!$A:$C,3,FALSE),"")</f>
        <v/>
      </c>
      <c r="G234" s="89" t="str">
        <f>IFERROR(VLOOKUP($D234,ProductMaster!$A:$O,4,FALSE),"")</f>
        <v/>
      </c>
      <c r="H234" s="90"/>
      <c r="I234" s="123">
        <f>IFERROR(VLOOKUP(E234,ProductMaster!B:G,6,FALSE),0)</f>
        <v>0</v>
      </c>
      <c r="J234" s="123">
        <f t="shared" si="31"/>
        <v>0</v>
      </c>
      <c r="K234" s="123">
        <f t="shared" si="32"/>
        <v>0</v>
      </c>
      <c r="L234" s="91"/>
      <c r="M234" s="92"/>
      <c r="N234" s="92"/>
      <c r="O234" s="93">
        <v>0</v>
      </c>
      <c r="P234" s="86"/>
      <c r="Q234" s="82">
        <f t="shared" si="30"/>
        <v>45</v>
      </c>
    </row>
    <row r="235" spans="1:17" ht="20.25" customHeight="1">
      <c r="A235" s="85"/>
      <c r="B235" s="102"/>
      <c r="C235" s="86"/>
      <c r="D235" s="87"/>
      <c r="E235" s="88" t="str">
        <f>IFERROR(VLOOKUP(D235,ProductMaster!$A:$B,2,FALSE),"")</f>
        <v/>
      </c>
      <c r="F235" s="88" t="str">
        <f>IFERROR(VLOOKUP(D235,ProductMaster!$A:$C,3,FALSE),"")</f>
        <v/>
      </c>
      <c r="G235" s="89" t="str">
        <f>IFERROR(VLOOKUP($D235,ProductMaster!$A:$O,4,FALSE),"")</f>
        <v/>
      </c>
      <c r="H235" s="90"/>
      <c r="I235" s="123">
        <f>IFERROR(VLOOKUP(E235,ProductMaster!B:G,6,FALSE),0)</f>
        <v>0</v>
      </c>
      <c r="J235" s="123">
        <f t="shared" si="31"/>
        <v>0</v>
      </c>
      <c r="K235" s="123">
        <f t="shared" si="32"/>
        <v>0</v>
      </c>
      <c r="L235" s="91"/>
      <c r="M235" s="92"/>
      <c r="N235" s="92"/>
      <c r="O235" s="93">
        <v>0</v>
      </c>
      <c r="P235" s="86"/>
      <c r="Q235" s="82">
        <f t="shared" si="30"/>
        <v>46</v>
      </c>
    </row>
    <row r="236" spans="1:17" ht="20.25" customHeight="1">
      <c r="A236" s="85"/>
      <c r="B236" s="102"/>
      <c r="C236" s="86"/>
      <c r="D236" s="87"/>
      <c r="E236" s="88" t="str">
        <f>IFERROR(VLOOKUP(D236,ProductMaster!$A:$B,2,FALSE),"")</f>
        <v/>
      </c>
      <c r="F236" s="88" t="str">
        <f>IFERROR(VLOOKUP(D236,ProductMaster!$A:$C,3,FALSE),"")</f>
        <v/>
      </c>
      <c r="G236" s="89" t="str">
        <f>IFERROR(VLOOKUP($D236,ProductMaster!$A:$O,4,FALSE),"")</f>
        <v/>
      </c>
      <c r="H236" s="90"/>
      <c r="I236" s="123">
        <f>IFERROR(VLOOKUP(E236,ProductMaster!B:G,6,FALSE),0)</f>
        <v>0</v>
      </c>
      <c r="J236" s="123">
        <f t="shared" si="31"/>
        <v>0</v>
      </c>
      <c r="K236" s="123">
        <f t="shared" si="32"/>
        <v>0</v>
      </c>
      <c r="L236" s="91"/>
      <c r="M236" s="92"/>
      <c r="N236" s="92"/>
      <c r="O236" s="93">
        <v>0</v>
      </c>
      <c r="P236" s="86"/>
      <c r="Q236" s="82">
        <f t="shared" si="30"/>
        <v>47</v>
      </c>
    </row>
    <row r="237" spans="1:17" ht="20.25" customHeight="1">
      <c r="A237" s="85"/>
      <c r="B237" s="102"/>
      <c r="C237" s="86"/>
      <c r="D237" s="87"/>
      <c r="E237" s="88" t="str">
        <f>IFERROR(VLOOKUP(D237,ProductMaster!$A:$B,2,FALSE),"")</f>
        <v/>
      </c>
      <c r="F237" s="88" t="str">
        <f>IFERROR(VLOOKUP(D237,ProductMaster!$A:$C,3,FALSE),"")</f>
        <v/>
      </c>
      <c r="G237" s="89" t="str">
        <f>IFERROR(VLOOKUP($D237,ProductMaster!$A:$O,4,FALSE),"")</f>
        <v/>
      </c>
      <c r="H237" s="90"/>
      <c r="I237" s="123">
        <f>IFERROR(VLOOKUP(E237,ProductMaster!B:G,6,FALSE),0)</f>
        <v>0</v>
      </c>
      <c r="J237" s="123">
        <f t="shared" si="31"/>
        <v>0</v>
      </c>
      <c r="K237" s="123">
        <f t="shared" si="32"/>
        <v>0</v>
      </c>
      <c r="L237" s="91"/>
      <c r="M237" s="92"/>
      <c r="N237" s="92"/>
      <c r="O237" s="93">
        <v>0</v>
      </c>
      <c r="P237" s="86"/>
      <c r="Q237" s="82">
        <f t="shared" si="30"/>
        <v>48</v>
      </c>
    </row>
    <row r="238" spans="1:17" ht="20.25" customHeight="1">
      <c r="A238" s="85"/>
      <c r="B238" s="102"/>
      <c r="C238" s="86"/>
      <c r="D238" s="87"/>
      <c r="E238" s="88" t="str">
        <f>IFERROR(VLOOKUP(D238,ProductMaster!$A:$B,2,FALSE),"")</f>
        <v/>
      </c>
      <c r="F238" s="88" t="str">
        <f>IFERROR(VLOOKUP(D238,ProductMaster!$A:$C,3,FALSE),"")</f>
        <v/>
      </c>
      <c r="G238" s="89" t="str">
        <f>IFERROR(VLOOKUP($D238,ProductMaster!$A:$O,4,FALSE),"")</f>
        <v/>
      </c>
      <c r="H238" s="90"/>
      <c r="I238" s="123">
        <f>IFERROR(VLOOKUP(E238,ProductMaster!B:G,6,FALSE),0)</f>
        <v>0</v>
      </c>
      <c r="J238" s="123">
        <f t="shared" si="31"/>
        <v>0</v>
      </c>
      <c r="K238" s="123">
        <f t="shared" si="32"/>
        <v>0</v>
      </c>
      <c r="L238" s="91"/>
      <c r="M238" s="92"/>
      <c r="N238" s="92"/>
      <c r="O238" s="93">
        <v>0</v>
      </c>
      <c r="P238" s="86"/>
      <c r="Q238" s="82">
        <f t="shared" si="30"/>
        <v>49</v>
      </c>
    </row>
    <row r="239" spans="1:17" ht="20.25" customHeight="1">
      <c r="A239" s="85"/>
      <c r="B239" s="102"/>
      <c r="C239" s="86"/>
      <c r="D239" s="87"/>
      <c r="E239" s="88" t="str">
        <f>IFERROR(VLOOKUP(D239,ProductMaster!$A:$B,2,FALSE),"")</f>
        <v/>
      </c>
      <c r="F239" s="88" t="str">
        <f>IFERROR(VLOOKUP(D239,ProductMaster!$A:$C,3,FALSE),"")</f>
        <v/>
      </c>
      <c r="G239" s="89" t="str">
        <f>IFERROR(VLOOKUP($D239,ProductMaster!$A:$O,4,FALSE),"")</f>
        <v/>
      </c>
      <c r="H239" s="90"/>
      <c r="I239" s="123">
        <f>IFERROR(VLOOKUP(E239,ProductMaster!B:G,6,FALSE),0)</f>
        <v>0</v>
      </c>
      <c r="J239" s="123">
        <f t="shared" si="31"/>
        <v>0</v>
      </c>
      <c r="K239" s="123">
        <f t="shared" si="32"/>
        <v>0</v>
      </c>
      <c r="L239" s="91"/>
      <c r="M239" s="92"/>
      <c r="N239" s="92"/>
      <c r="O239" s="93">
        <v>0</v>
      </c>
      <c r="P239" s="86"/>
      <c r="Q239" s="82">
        <f t="shared" si="30"/>
        <v>50</v>
      </c>
    </row>
    <row r="240" spans="1:17" ht="20.25" customHeight="1">
      <c r="A240" s="85"/>
      <c r="B240" s="102"/>
      <c r="C240" s="86"/>
      <c r="D240" s="87"/>
      <c r="E240" s="88" t="str">
        <f>IFERROR(VLOOKUP(D240,ProductMaster!$A:$B,2,FALSE),"")</f>
        <v/>
      </c>
      <c r="F240" s="88" t="str">
        <f>IFERROR(VLOOKUP(D240,ProductMaster!$A:$C,3,FALSE),"")</f>
        <v/>
      </c>
      <c r="G240" s="89" t="str">
        <f>IFERROR(VLOOKUP($D240,ProductMaster!$A:$O,4,FALSE),"")</f>
        <v/>
      </c>
      <c r="H240" s="90"/>
      <c r="I240" s="123">
        <f>IFERROR(VLOOKUP(E240,ProductMaster!B:G,6,FALSE),0)</f>
        <v>0</v>
      </c>
      <c r="J240" s="123">
        <f t="shared" si="31"/>
        <v>0</v>
      </c>
      <c r="K240" s="123">
        <f t="shared" si="32"/>
        <v>0</v>
      </c>
      <c r="L240" s="91"/>
      <c r="M240" s="92"/>
      <c r="N240" s="92"/>
      <c r="O240" s="93">
        <v>0</v>
      </c>
      <c r="P240" s="86"/>
      <c r="Q240" s="82">
        <f t="shared" si="30"/>
        <v>51</v>
      </c>
    </row>
    <row r="241" spans="1:17" ht="20.25" customHeight="1">
      <c r="A241" s="85"/>
      <c r="B241" s="102"/>
      <c r="C241" s="86"/>
      <c r="D241" s="87"/>
      <c r="E241" s="88" t="str">
        <f>IFERROR(VLOOKUP(D241,ProductMaster!$A:$B,2,FALSE),"")</f>
        <v/>
      </c>
      <c r="F241" s="88" t="str">
        <f>IFERROR(VLOOKUP(D241,ProductMaster!$A:$C,3,FALSE),"")</f>
        <v/>
      </c>
      <c r="G241" s="89" t="str">
        <f>IFERROR(VLOOKUP($D241,ProductMaster!$A:$O,4,FALSE),"")</f>
        <v/>
      </c>
      <c r="H241" s="90"/>
      <c r="I241" s="123">
        <f>IFERROR(VLOOKUP(E241,ProductMaster!B:G,6,FALSE),0)</f>
        <v>0</v>
      </c>
      <c r="J241" s="123">
        <f t="shared" si="31"/>
        <v>0</v>
      </c>
      <c r="K241" s="123">
        <f t="shared" si="32"/>
        <v>0</v>
      </c>
      <c r="L241" s="91"/>
      <c r="M241" s="92"/>
      <c r="N241" s="92"/>
      <c r="O241" s="93">
        <v>0</v>
      </c>
      <c r="P241" s="86"/>
      <c r="Q241" s="82">
        <f t="shared" si="30"/>
        <v>52</v>
      </c>
    </row>
    <row r="242" spans="1:17" ht="20.25" customHeight="1">
      <c r="A242" s="85"/>
      <c r="B242" s="102"/>
      <c r="C242" s="86"/>
      <c r="D242" s="87"/>
      <c r="E242" s="88" t="str">
        <f>IFERROR(VLOOKUP(D242,ProductMaster!$A:$B,2,FALSE),"")</f>
        <v/>
      </c>
      <c r="F242" s="88" t="str">
        <f>IFERROR(VLOOKUP(D242,ProductMaster!$A:$C,3,FALSE),"")</f>
        <v/>
      </c>
      <c r="G242" s="89" t="str">
        <f>IFERROR(VLOOKUP($D242,ProductMaster!$A:$O,4,FALSE),"")</f>
        <v/>
      </c>
      <c r="H242" s="90"/>
      <c r="I242" s="123">
        <f>IFERROR(VLOOKUP(E242,ProductMaster!B:G,6,FALSE),0)</f>
        <v>0</v>
      </c>
      <c r="J242" s="123">
        <f t="shared" si="31"/>
        <v>0</v>
      </c>
      <c r="K242" s="123">
        <f t="shared" si="32"/>
        <v>0</v>
      </c>
      <c r="L242" s="91"/>
      <c r="M242" s="92"/>
      <c r="N242" s="92"/>
      <c r="O242" s="93">
        <v>0</v>
      </c>
      <c r="P242" s="86"/>
      <c r="Q242" s="82">
        <f t="shared" si="30"/>
        <v>53</v>
      </c>
    </row>
    <row r="243" spans="1:17" ht="20.25" customHeight="1">
      <c r="A243" s="85"/>
      <c r="B243" s="102"/>
      <c r="C243" s="86"/>
      <c r="D243" s="87"/>
      <c r="E243" s="88" t="str">
        <f>IFERROR(VLOOKUP(D243,ProductMaster!$A:$B,2,FALSE),"")</f>
        <v/>
      </c>
      <c r="F243" s="88" t="str">
        <f>IFERROR(VLOOKUP(D243,ProductMaster!$A:$C,3,FALSE),"")</f>
        <v/>
      </c>
      <c r="G243" s="89" t="str">
        <f>IFERROR(VLOOKUP($D243,ProductMaster!$A:$O,4,FALSE),"")</f>
        <v/>
      </c>
      <c r="H243" s="90"/>
      <c r="I243" s="123">
        <f>IFERROR(VLOOKUP(E243,ProductMaster!B:G,6,FALSE),0)</f>
        <v>0</v>
      </c>
      <c r="J243" s="123">
        <f t="shared" si="31"/>
        <v>0</v>
      </c>
      <c r="K243" s="123">
        <f t="shared" si="32"/>
        <v>0</v>
      </c>
      <c r="L243" s="91"/>
      <c r="M243" s="92"/>
      <c r="N243" s="92"/>
      <c r="O243" s="93">
        <v>0</v>
      </c>
      <c r="P243" s="86"/>
      <c r="Q243" s="82">
        <f t="shared" si="30"/>
        <v>54</v>
      </c>
    </row>
    <row r="244" spans="1:17" ht="20.25" customHeight="1">
      <c r="A244" s="85"/>
      <c r="B244" s="102"/>
      <c r="C244" s="86"/>
      <c r="D244" s="87"/>
      <c r="E244" s="88" t="str">
        <f>IFERROR(VLOOKUP(D244,ProductMaster!$A:$B,2,FALSE),"")</f>
        <v/>
      </c>
      <c r="F244" s="88" t="str">
        <f>IFERROR(VLOOKUP(D244,ProductMaster!$A:$C,3,FALSE),"")</f>
        <v/>
      </c>
      <c r="G244" s="89" t="str">
        <f>IFERROR(VLOOKUP($D244,ProductMaster!$A:$O,4,FALSE),"")</f>
        <v/>
      </c>
      <c r="H244" s="90"/>
      <c r="I244" s="123">
        <f>IFERROR(VLOOKUP(E244,ProductMaster!B:G,6,FALSE),0)</f>
        <v>0</v>
      </c>
      <c r="J244" s="123">
        <f t="shared" si="31"/>
        <v>0</v>
      </c>
      <c r="K244" s="123">
        <f t="shared" si="32"/>
        <v>0</v>
      </c>
      <c r="L244" s="91"/>
      <c r="M244" s="92"/>
      <c r="N244" s="92"/>
      <c r="O244" s="93">
        <v>0</v>
      </c>
      <c r="P244" s="86"/>
      <c r="Q244" s="82">
        <f t="shared" si="30"/>
        <v>55</v>
      </c>
    </row>
    <row r="245" spans="1:17" ht="20.25" customHeight="1">
      <c r="A245" s="85"/>
      <c r="B245" s="102"/>
      <c r="C245" s="86"/>
      <c r="D245" s="87"/>
      <c r="E245" s="88" t="str">
        <f>IFERROR(VLOOKUP(D245,ProductMaster!$A:$B,2,FALSE),"")</f>
        <v/>
      </c>
      <c r="F245" s="88" t="str">
        <f>IFERROR(VLOOKUP(D245,ProductMaster!$A:$C,3,FALSE),"")</f>
        <v/>
      </c>
      <c r="G245" s="89" t="str">
        <f>IFERROR(VLOOKUP($D245,ProductMaster!$A:$O,4,FALSE),"")</f>
        <v/>
      </c>
      <c r="H245" s="90"/>
      <c r="I245" s="123">
        <f>IFERROR(VLOOKUP(E245,ProductMaster!B:G,6,FALSE),0)</f>
        <v>0</v>
      </c>
      <c r="J245" s="123">
        <f t="shared" si="31"/>
        <v>0</v>
      </c>
      <c r="K245" s="123">
        <f t="shared" si="32"/>
        <v>0</v>
      </c>
      <c r="L245" s="91"/>
      <c r="M245" s="92"/>
      <c r="N245" s="92"/>
      <c r="O245" s="93">
        <v>0</v>
      </c>
      <c r="P245" s="86"/>
      <c r="Q245" s="82">
        <f t="shared" si="30"/>
        <v>56</v>
      </c>
    </row>
    <row r="246" spans="1:17" ht="20.25" customHeight="1">
      <c r="A246" s="85"/>
      <c r="B246" s="102"/>
      <c r="C246" s="86"/>
      <c r="D246" s="87"/>
      <c r="E246" s="88" t="str">
        <f>IFERROR(VLOOKUP(D246,ProductMaster!$A:$B,2,FALSE),"")</f>
        <v/>
      </c>
      <c r="F246" s="88" t="str">
        <f>IFERROR(VLOOKUP(D246,ProductMaster!$A:$C,3,FALSE),"")</f>
        <v/>
      </c>
      <c r="G246" s="89" t="str">
        <f>IFERROR(VLOOKUP($D246,ProductMaster!$A:$O,4,FALSE),"")</f>
        <v/>
      </c>
      <c r="H246" s="90"/>
      <c r="I246" s="123">
        <f>IFERROR(VLOOKUP(E246,ProductMaster!B:G,6,FALSE),0)</f>
        <v>0</v>
      </c>
      <c r="J246" s="123">
        <f t="shared" si="31"/>
        <v>0</v>
      </c>
      <c r="K246" s="123">
        <f t="shared" si="32"/>
        <v>0</v>
      </c>
      <c r="L246" s="91"/>
      <c r="M246" s="92"/>
      <c r="N246" s="92"/>
      <c r="O246" s="93">
        <v>0</v>
      </c>
      <c r="P246" s="86"/>
      <c r="Q246" s="82">
        <f t="shared" si="30"/>
        <v>57</v>
      </c>
    </row>
    <row r="247" spans="1:17" ht="20.25" customHeight="1">
      <c r="A247" s="85"/>
      <c r="B247" s="102"/>
      <c r="C247" s="86"/>
      <c r="D247" s="87"/>
      <c r="E247" s="88" t="str">
        <f>IFERROR(VLOOKUP(D247,ProductMaster!$A:$B,2,FALSE),"")</f>
        <v/>
      </c>
      <c r="F247" s="88" t="str">
        <f>IFERROR(VLOOKUP(D247,ProductMaster!$A:$C,3,FALSE),"")</f>
        <v/>
      </c>
      <c r="G247" s="89" t="str">
        <f>IFERROR(VLOOKUP($D247,ProductMaster!$A:$O,4,FALSE),"")</f>
        <v/>
      </c>
      <c r="H247" s="90"/>
      <c r="I247" s="123">
        <f>IFERROR(VLOOKUP(E247,ProductMaster!B:G,6,FALSE),0)</f>
        <v>0</v>
      </c>
      <c r="J247" s="123">
        <f t="shared" si="31"/>
        <v>0</v>
      </c>
      <c r="K247" s="123">
        <f t="shared" si="32"/>
        <v>0</v>
      </c>
      <c r="L247" s="91"/>
      <c r="M247" s="92"/>
      <c r="N247" s="92"/>
      <c r="O247" s="93">
        <v>0</v>
      </c>
      <c r="P247" s="86"/>
      <c r="Q247" s="82">
        <f t="shared" si="30"/>
        <v>58</v>
      </c>
    </row>
    <row r="248" spans="1:17" ht="20.25" customHeight="1">
      <c r="A248" s="85"/>
      <c r="B248" s="102"/>
      <c r="C248" s="86"/>
      <c r="D248" s="87"/>
      <c r="E248" s="88" t="str">
        <f>IFERROR(VLOOKUP(D248,ProductMaster!$A:$B,2,FALSE),"")</f>
        <v/>
      </c>
      <c r="F248" s="88" t="str">
        <f>IFERROR(VLOOKUP(D248,ProductMaster!$A:$C,3,FALSE),"")</f>
        <v/>
      </c>
      <c r="G248" s="89" t="str">
        <f>IFERROR(VLOOKUP($D248,ProductMaster!$A:$O,4,FALSE),"")</f>
        <v/>
      </c>
      <c r="H248" s="90"/>
      <c r="I248" s="123">
        <f>IFERROR(VLOOKUP(E248,ProductMaster!B:G,6,FALSE),0)</f>
        <v>0</v>
      </c>
      <c r="J248" s="123">
        <f t="shared" si="31"/>
        <v>0</v>
      </c>
      <c r="K248" s="123">
        <f t="shared" si="32"/>
        <v>0</v>
      </c>
      <c r="L248" s="91"/>
      <c r="M248" s="92"/>
      <c r="N248" s="92"/>
      <c r="O248" s="93">
        <v>0</v>
      </c>
      <c r="P248" s="86"/>
      <c r="Q248" s="82">
        <f t="shared" si="30"/>
        <v>59</v>
      </c>
    </row>
    <row r="249" spans="1:17" ht="20.25" customHeight="1">
      <c r="A249" s="85"/>
      <c r="B249" s="102"/>
      <c r="C249" s="86"/>
      <c r="D249" s="87"/>
      <c r="E249" s="88" t="str">
        <f>IFERROR(VLOOKUP(D249,ProductMaster!$A:$B,2,FALSE),"")</f>
        <v/>
      </c>
      <c r="F249" s="88" t="str">
        <f>IFERROR(VLOOKUP(D249,ProductMaster!$A:$C,3,FALSE),"")</f>
        <v/>
      </c>
      <c r="G249" s="89" t="str">
        <f>IFERROR(VLOOKUP($D249,ProductMaster!$A:$O,4,FALSE),"")</f>
        <v/>
      </c>
      <c r="H249" s="90"/>
      <c r="I249" s="123">
        <f>IFERROR(VLOOKUP(E249,ProductMaster!B:G,6,FALSE),0)</f>
        <v>0</v>
      </c>
      <c r="J249" s="123">
        <f t="shared" si="31"/>
        <v>0</v>
      </c>
      <c r="K249" s="123">
        <f t="shared" si="32"/>
        <v>0</v>
      </c>
      <c r="L249" s="91"/>
      <c r="M249" s="92"/>
      <c r="N249" s="92"/>
      <c r="O249" s="93">
        <v>0</v>
      </c>
      <c r="P249" s="86"/>
      <c r="Q249" s="82">
        <f t="shared" si="30"/>
        <v>60</v>
      </c>
    </row>
    <row r="250" spans="1:17" ht="20.25" customHeight="1">
      <c r="A250" s="85"/>
      <c r="B250" s="102"/>
      <c r="C250" s="86"/>
      <c r="D250" s="87"/>
      <c r="E250" s="88" t="str">
        <f>IFERROR(VLOOKUP(D250,ProductMaster!$A:$B,2,FALSE),"")</f>
        <v/>
      </c>
      <c r="F250" s="88" t="str">
        <f>IFERROR(VLOOKUP(D250,ProductMaster!$A:$C,3,FALSE),"")</f>
        <v/>
      </c>
      <c r="G250" s="89" t="str">
        <f>IFERROR(VLOOKUP($D250,ProductMaster!$A:$O,4,FALSE),"")</f>
        <v/>
      </c>
      <c r="H250" s="90"/>
      <c r="I250" s="123">
        <f>IFERROR(VLOOKUP(E250,ProductMaster!B:G,6,FALSE),0)</f>
        <v>0</v>
      </c>
      <c r="J250" s="123">
        <f t="shared" si="31"/>
        <v>0</v>
      </c>
      <c r="K250" s="123">
        <f t="shared" si="32"/>
        <v>0</v>
      </c>
      <c r="L250" s="91"/>
      <c r="M250" s="92"/>
      <c r="N250" s="92"/>
      <c r="O250" s="93">
        <v>0</v>
      </c>
      <c r="P250" s="86"/>
      <c r="Q250" s="82">
        <f t="shared" si="30"/>
        <v>61</v>
      </c>
    </row>
    <row r="251" spans="1:17" ht="20.25" customHeight="1">
      <c r="A251" s="85"/>
      <c r="B251" s="102"/>
      <c r="C251" s="86"/>
      <c r="D251" s="87"/>
      <c r="E251" s="88" t="str">
        <f>IFERROR(VLOOKUP(D251,ProductMaster!$A:$B,2,FALSE),"")</f>
        <v/>
      </c>
      <c r="F251" s="88" t="str">
        <f>IFERROR(VLOOKUP(D251,ProductMaster!$A:$C,3,FALSE),"")</f>
        <v/>
      </c>
      <c r="G251" s="89" t="str">
        <f>IFERROR(VLOOKUP($D251,ProductMaster!$A:$O,4,FALSE),"")</f>
        <v/>
      </c>
      <c r="H251" s="90"/>
      <c r="I251" s="123">
        <f>IFERROR(VLOOKUP(E251,ProductMaster!B:G,6,FALSE),0)</f>
        <v>0</v>
      </c>
      <c r="J251" s="123">
        <f t="shared" si="31"/>
        <v>0</v>
      </c>
      <c r="K251" s="123">
        <f t="shared" si="32"/>
        <v>0</v>
      </c>
      <c r="L251" s="91"/>
      <c r="M251" s="92"/>
      <c r="N251" s="92"/>
      <c r="O251" s="93">
        <v>0</v>
      </c>
      <c r="P251" s="86"/>
      <c r="Q251" s="82">
        <f t="shared" si="30"/>
        <v>62</v>
      </c>
    </row>
    <row r="252" spans="1:17" ht="20.25" customHeight="1">
      <c r="A252" s="85"/>
      <c r="B252" s="102"/>
      <c r="C252" s="86"/>
      <c r="D252" s="87"/>
      <c r="E252" s="88" t="str">
        <f>IFERROR(VLOOKUP(D252,ProductMaster!$A:$B,2,FALSE),"")</f>
        <v/>
      </c>
      <c r="F252" s="88" t="str">
        <f>IFERROR(VLOOKUP(D252,ProductMaster!$A:$C,3,FALSE),"")</f>
        <v/>
      </c>
      <c r="G252" s="89" t="str">
        <f>IFERROR(VLOOKUP($D252,ProductMaster!$A:$O,4,FALSE),"")</f>
        <v/>
      </c>
      <c r="H252" s="90"/>
      <c r="I252" s="123">
        <f>IFERROR(VLOOKUP(E252,ProductMaster!B:G,6,FALSE),0)</f>
        <v>0</v>
      </c>
      <c r="J252" s="123">
        <f t="shared" si="31"/>
        <v>0</v>
      </c>
      <c r="K252" s="123">
        <f t="shared" si="32"/>
        <v>0</v>
      </c>
      <c r="L252" s="91"/>
      <c r="M252" s="92"/>
      <c r="N252" s="92"/>
      <c r="O252" s="93">
        <v>0</v>
      </c>
      <c r="P252" s="86"/>
      <c r="Q252" s="82">
        <f t="shared" si="30"/>
        <v>63</v>
      </c>
    </row>
    <row r="253" spans="1:17" ht="20.25" customHeight="1">
      <c r="A253" s="85"/>
      <c r="B253" s="102"/>
      <c r="C253" s="86"/>
      <c r="D253" s="87"/>
      <c r="E253" s="88" t="str">
        <f>IFERROR(VLOOKUP(D253,ProductMaster!$A:$B,2,FALSE),"")</f>
        <v/>
      </c>
      <c r="F253" s="88" t="str">
        <f>IFERROR(VLOOKUP(D253,ProductMaster!$A:$C,3,FALSE),"")</f>
        <v/>
      </c>
      <c r="G253" s="89" t="str">
        <f>IFERROR(VLOOKUP($D253,ProductMaster!$A:$O,4,FALSE),"")</f>
        <v/>
      </c>
      <c r="H253" s="90"/>
      <c r="I253" s="123">
        <f>IFERROR(VLOOKUP(E253,ProductMaster!B:G,6,FALSE),0)</f>
        <v>0</v>
      </c>
      <c r="J253" s="123">
        <f t="shared" si="31"/>
        <v>0</v>
      </c>
      <c r="K253" s="123">
        <f t="shared" si="32"/>
        <v>0</v>
      </c>
      <c r="L253" s="91"/>
      <c r="M253" s="92"/>
      <c r="N253" s="92"/>
      <c r="O253" s="93">
        <v>0</v>
      </c>
      <c r="P253" s="86"/>
      <c r="Q253" s="82">
        <f t="shared" si="30"/>
        <v>64</v>
      </c>
    </row>
    <row r="254" spans="1:17" ht="20.25" customHeight="1">
      <c r="A254" s="85"/>
      <c r="B254" s="102"/>
      <c r="C254" s="86"/>
      <c r="D254" s="87"/>
      <c r="E254" s="88" t="str">
        <f>IFERROR(VLOOKUP(D254,ProductMaster!$A:$B,2,FALSE),"")</f>
        <v/>
      </c>
      <c r="F254" s="88" t="str">
        <f>IFERROR(VLOOKUP(D254,ProductMaster!$A:$C,3,FALSE),"")</f>
        <v/>
      </c>
      <c r="G254" s="89" t="str">
        <f>IFERROR(VLOOKUP($D254,ProductMaster!$A:$O,4,FALSE),"")</f>
        <v/>
      </c>
      <c r="H254" s="90"/>
      <c r="I254" s="123">
        <f>IFERROR(VLOOKUP(E254,ProductMaster!B:G,6,FALSE),0)</f>
        <v>0</v>
      </c>
      <c r="J254" s="123">
        <f t="shared" si="31"/>
        <v>0</v>
      </c>
      <c r="K254" s="123">
        <f t="shared" si="32"/>
        <v>0</v>
      </c>
      <c r="L254" s="91"/>
      <c r="M254" s="92"/>
      <c r="N254" s="92"/>
      <c r="O254" s="93">
        <v>0</v>
      </c>
      <c r="P254" s="86"/>
      <c r="Q254" s="82">
        <f t="shared" si="30"/>
        <v>65</v>
      </c>
    </row>
    <row r="255" spans="1:17" ht="20.25" customHeight="1">
      <c r="A255" s="85"/>
      <c r="B255" s="102"/>
      <c r="C255" s="86"/>
      <c r="D255" s="87"/>
      <c r="E255" s="88" t="str">
        <f>IFERROR(VLOOKUP(D255,ProductMaster!$A:$B,2,FALSE),"")</f>
        <v/>
      </c>
      <c r="F255" s="88" t="str">
        <f>IFERROR(VLOOKUP(D255,ProductMaster!$A:$C,3,FALSE),"")</f>
        <v/>
      </c>
      <c r="G255" s="89" t="str">
        <f>IFERROR(VLOOKUP($D255,ProductMaster!$A:$O,4,FALSE),"")</f>
        <v/>
      </c>
      <c r="H255" s="90"/>
      <c r="I255" s="123">
        <f>IFERROR(VLOOKUP(E255,ProductMaster!B:G,6,FALSE),0)</f>
        <v>0</v>
      </c>
      <c r="J255" s="123">
        <f t="shared" si="31"/>
        <v>0</v>
      </c>
      <c r="K255" s="123">
        <f t="shared" si="32"/>
        <v>0</v>
      </c>
      <c r="L255" s="91"/>
      <c r="M255" s="92"/>
      <c r="N255" s="92"/>
      <c r="O255" s="93">
        <v>0</v>
      </c>
      <c r="P255" s="86"/>
      <c r="Q255" s="82">
        <f t="shared" si="30"/>
        <v>66</v>
      </c>
    </row>
    <row r="256" spans="1:17" ht="20.25" customHeight="1">
      <c r="A256" s="85"/>
      <c r="B256" s="102"/>
      <c r="C256" s="86"/>
      <c r="D256" s="87"/>
      <c r="E256" s="88" t="str">
        <f>IFERROR(VLOOKUP(D256,ProductMaster!$A:$B,2,FALSE),"")</f>
        <v/>
      </c>
      <c r="F256" s="88" t="str">
        <f>IFERROR(VLOOKUP(D256,ProductMaster!$A:$C,3,FALSE),"")</f>
        <v/>
      </c>
      <c r="G256" s="89" t="str">
        <f>IFERROR(VLOOKUP($D256,ProductMaster!$A:$O,4,FALSE),"")</f>
        <v/>
      </c>
      <c r="H256" s="90"/>
      <c r="I256" s="123">
        <f>IFERROR(VLOOKUP(E256,ProductMaster!B:G,6,FALSE),0)</f>
        <v>0</v>
      </c>
      <c r="J256" s="123">
        <f t="shared" si="31"/>
        <v>0</v>
      </c>
      <c r="K256" s="123">
        <f t="shared" si="32"/>
        <v>0</v>
      </c>
      <c r="L256" s="91"/>
      <c r="M256" s="92"/>
      <c r="N256" s="92"/>
      <c r="O256" s="93">
        <v>0</v>
      </c>
      <c r="P256" s="86"/>
      <c r="Q256" s="82">
        <f t="shared" si="30"/>
        <v>67</v>
      </c>
    </row>
    <row r="257" spans="1:17" ht="20.25" customHeight="1">
      <c r="A257" s="85"/>
      <c r="B257" s="102"/>
      <c r="C257" s="86"/>
      <c r="D257" s="87"/>
      <c r="E257" s="88" t="str">
        <f>IFERROR(VLOOKUP(D257,ProductMaster!$A:$B,2,FALSE),"")</f>
        <v/>
      </c>
      <c r="F257" s="88" t="str">
        <f>IFERROR(VLOOKUP(D257,ProductMaster!$A:$C,3,FALSE),"")</f>
        <v/>
      </c>
      <c r="G257" s="89" t="str">
        <f>IFERROR(VLOOKUP($D257,ProductMaster!$A:$O,4,FALSE),"")</f>
        <v/>
      </c>
      <c r="H257" s="90"/>
      <c r="I257" s="123">
        <f>IFERROR(VLOOKUP(E257,ProductMaster!B:G,6,FALSE),0)</f>
        <v>0</v>
      </c>
      <c r="J257" s="123">
        <f t="shared" si="31"/>
        <v>0</v>
      </c>
      <c r="K257" s="123">
        <f t="shared" si="32"/>
        <v>0</v>
      </c>
      <c r="L257" s="91"/>
      <c r="M257" s="92"/>
      <c r="N257" s="92"/>
      <c r="O257" s="93">
        <v>0</v>
      </c>
      <c r="P257" s="86"/>
      <c r="Q257" s="82">
        <f t="shared" si="30"/>
        <v>68</v>
      </c>
    </row>
    <row r="258" spans="1:17" ht="20.25" customHeight="1">
      <c r="A258" s="85"/>
      <c r="B258" s="102"/>
      <c r="C258" s="86"/>
      <c r="D258" s="87"/>
      <c r="E258" s="88" t="str">
        <f>IFERROR(VLOOKUP(D258,ProductMaster!$A:$B,2,FALSE),"")</f>
        <v/>
      </c>
      <c r="F258" s="88" t="str">
        <f>IFERROR(VLOOKUP(D258,ProductMaster!$A:$C,3,FALSE),"")</f>
        <v/>
      </c>
      <c r="G258" s="89" t="str">
        <f>IFERROR(VLOOKUP($D258,ProductMaster!$A:$O,4,FALSE),"")</f>
        <v/>
      </c>
      <c r="H258" s="90"/>
      <c r="I258" s="123">
        <f>IFERROR(VLOOKUP(E258,ProductMaster!B:G,6,FALSE),0)</f>
        <v>0</v>
      </c>
      <c r="J258" s="123">
        <f t="shared" si="31"/>
        <v>0</v>
      </c>
      <c r="K258" s="123">
        <f t="shared" si="32"/>
        <v>0</v>
      </c>
      <c r="L258" s="91"/>
      <c r="M258" s="92"/>
      <c r="N258" s="92"/>
      <c r="O258" s="93">
        <v>0</v>
      </c>
      <c r="P258" s="86"/>
      <c r="Q258" s="82">
        <f t="shared" ref="Q258:Q321" si="33">IF(B258=B257,Q257+1,1)</f>
        <v>69</v>
      </c>
    </row>
    <row r="259" spans="1:17" ht="20.25" customHeight="1">
      <c r="A259" s="85"/>
      <c r="B259" s="102"/>
      <c r="C259" s="86"/>
      <c r="D259" s="87"/>
      <c r="E259" s="88" t="str">
        <f>IFERROR(VLOOKUP(D259,ProductMaster!$A:$B,2,FALSE),"")</f>
        <v/>
      </c>
      <c r="F259" s="88" t="str">
        <f>IFERROR(VLOOKUP(D259,ProductMaster!$A:$C,3,FALSE),"")</f>
        <v/>
      </c>
      <c r="G259" s="89" t="str">
        <f>IFERROR(VLOOKUP($D259,ProductMaster!$A:$O,4,FALSE),"")</f>
        <v/>
      </c>
      <c r="H259" s="90"/>
      <c r="I259" s="123">
        <f>IFERROR(VLOOKUP(E259,ProductMaster!B:G,6,FALSE),0)</f>
        <v>0</v>
      </c>
      <c r="J259" s="123">
        <f t="shared" ref="J259:J322" si="34">ROUND(SUM(I259*7%),2)</f>
        <v>0</v>
      </c>
      <c r="K259" s="123">
        <f t="shared" si="32"/>
        <v>0</v>
      </c>
      <c r="L259" s="91"/>
      <c r="M259" s="92"/>
      <c r="N259" s="92"/>
      <c r="O259" s="93">
        <v>0</v>
      </c>
      <c r="P259" s="86"/>
      <c r="Q259" s="82">
        <f t="shared" si="33"/>
        <v>70</v>
      </c>
    </row>
    <row r="260" spans="1:17" ht="20.25" customHeight="1">
      <c r="A260" s="85"/>
      <c r="B260" s="102"/>
      <c r="C260" s="86"/>
      <c r="D260" s="87"/>
      <c r="E260" s="88" t="str">
        <f>IFERROR(VLOOKUP(D260,ProductMaster!$A:$B,2,FALSE),"")</f>
        <v/>
      </c>
      <c r="F260" s="88" t="str">
        <f>IFERROR(VLOOKUP(D260,ProductMaster!$A:$C,3,FALSE),"")</f>
        <v/>
      </c>
      <c r="G260" s="89" t="str">
        <f>IFERROR(VLOOKUP($D260,ProductMaster!$A:$O,4,FALSE),"")</f>
        <v/>
      </c>
      <c r="H260" s="90"/>
      <c r="I260" s="123">
        <f>IFERROR(VLOOKUP(E260,ProductMaster!B:G,6,FALSE),0)</f>
        <v>0</v>
      </c>
      <c r="J260" s="123">
        <f t="shared" si="34"/>
        <v>0</v>
      </c>
      <c r="K260" s="123">
        <f t="shared" si="32"/>
        <v>0</v>
      </c>
      <c r="L260" s="91"/>
      <c r="M260" s="92"/>
      <c r="N260" s="92"/>
      <c r="O260" s="93">
        <v>0</v>
      </c>
      <c r="P260" s="86"/>
      <c r="Q260" s="82">
        <f t="shared" si="33"/>
        <v>71</v>
      </c>
    </row>
    <row r="261" spans="1:17" ht="20.25" customHeight="1">
      <c r="A261" s="85"/>
      <c r="B261" s="102"/>
      <c r="C261" s="86"/>
      <c r="D261" s="87"/>
      <c r="E261" s="88" t="str">
        <f>IFERROR(VLOOKUP(D261,ProductMaster!$A:$B,2,FALSE),"")</f>
        <v/>
      </c>
      <c r="F261" s="88" t="str">
        <f>IFERROR(VLOOKUP(D261,ProductMaster!$A:$C,3,FALSE),"")</f>
        <v/>
      </c>
      <c r="G261" s="89" t="str">
        <f>IFERROR(VLOOKUP($D261,ProductMaster!$A:$O,4,FALSE),"")</f>
        <v/>
      </c>
      <c r="H261" s="90"/>
      <c r="I261" s="123">
        <f>IFERROR(VLOOKUP(E261,ProductMaster!B:G,6,FALSE),0)</f>
        <v>0</v>
      </c>
      <c r="J261" s="123">
        <f t="shared" si="34"/>
        <v>0</v>
      </c>
      <c r="K261" s="123">
        <f t="shared" si="32"/>
        <v>0</v>
      </c>
      <c r="L261" s="91"/>
      <c r="M261" s="92"/>
      <c r="N261" s="92"/>
      <c r="O261" s="93">
        <v>0</v>
      </c>
      <c r="P261" s="86"/>
      <c r="Q261" s="82">
        <f t="shared" si="33"/>
        <v>72</v>
      </c>
    </row>
    <row r="262" spans="1:17" ht="20.25" customHeight="1">
      <c r="A262" s="85"/>
      <c r="B262" s="102"/>
      <c r="C262" s="86"/>
      <c r="D262" s="87"/>
      <c r="E262" s="88" t="str">
        <f>IFERROR(VLOOKUP(D262,ProductMaster!$A:$B,2,FALSE),"")</f>
        <v/>
      </c>
      <c r="F262" s="88" t="str">
        <f>IFERROR(VLOOKUP(D262,ProductMaster!$A:$C,3,FALSE),"")</f>
        <v/>
      </c>
      <c r="G262" s="89" t="str">
        <f>IFERROR(VLOOKUP($D262,ProductMaster!$A:$O,4,FALSE),"")</f>
        <v/>
      </c>
      <c r="H262" s="90"/>
      <c r="I262" s="123">
        <f>IFERROR(VLOOKUP(E262,ProductMaster!B:G,6,FALSE),0)</f>
        <v>0</v>
      </c>
      <c r="J262" s="123">
        <f t="shared" si="34"/>
        <v>0</v>
      </c>
      <c r="K262" s="123">
        <f t="shared" si="32"/>
        <v>0</v>
      </c>
      <c r="L262" s="91"/>
      <c r="M262" s="92"/>
      <c r="N262" s="92"/>
      <c r="O262" s="93">
        <v>0</v>
      </c>
      <c r="P262" s="86"/>
      <c r="Q262" s="82">
        <f t="shared" si="33"/>
        <v>73</v>
      </c>
    </row>
    <row r="263" spans="1:17" ht="20.25" customHeight="1">
      <c r="A263" s="85"/>
      <c r="B263" s="102"/>
      <c r="C263" s="86"/>
      <c r="D263" s="87"/>
      <c r="E263" s="88" t="str">
        <f>IFERROR(VLOOKUP(D263,ProductMaster!$A:$B,2,FALSE),"")</f>
        <v/>
      </c>
      <c r="F263" s="88" t="str">
        <f>IFERROR(VLOOKUP(D263,ProductMaster!$A:$C,3,FALSE),"")</f>
        <v/>
      </c>
      <c r="G263" s="89" t="str">
        <f>IFERROR(VLOOKUP($D263,ProductMaster!$A:$O,4,FALSE),"")</f>
        <v/>
      </c>
      <c r="H263" s="90"/>
      <c r="I263" s="123">
        <f>IFERROR(VLOOKUP(E263,ProductMaster!B:G,6,FALSE),0)</f>
        <v>0</v>
      </c>
      <c r="J263" s="123">
        <f t="shared" si="34"/>
        <v>0</v>
      </c>
      <c r="K263" s="123">
        <f t="shared" si="32"/>
        <v>0</v>
      </c>
      <c r="L263" s="91"/>
      <c r="M263" s="92"/>
      <c r="N263" s="92"/>
      <c r="O263" s="93">
        <v>0</v>
      </c>
      <c r="P263" s="86"/>
      <c r="Q263" s="82">
        <f t="shared" si="33"/>
        <v>74</v>
      </c>
    </row>
    <row r="264" spans="1:17" ht="20.25" customHeight="1">
      <c r="A264" s="85"/>
      <c r="B264" s="102"/>
      <c r="C264" s="86"/>
      <c r="D264" s="87"/>
      <c r="E264" s="88" t="str">
        <f>IFERROR(VLOOKUP(D264,ProductMaster!$A:$B,2,FALSE),"")</f>
        <v/>
      </c>
      <c r="F264" s="88" t="str">
        <f>IFERROR(VLOOKUP(D264,ProductMaster!$A:$C,3,FALSE),"")</f>
        <v/>
      </c>
      <c r="G264" s="89" t="str">
        <f>IFERROR(VLOOKUP($D264,ProductMaster!$A:$O,4,FALSE),"")</f>
        <v/>
      </c>
      <c r="H264" s="90"/>
      <c r="I264" s="123">
        <f>IFERROR(VLOOKUP(E264,ProductMaster!B:G,6,FALSE),0)</f>
        <v>0</v>
      </c>
      <c r="J264" s="123">
        <f t="shared" si="34"/>
        <v>0</v>
      </c>
      <c r="K264" s="123">
        <f t="shared" si="32"/>
        <v>0</v>
      </c>
      <c r="L264" s="91"/>
      <c r="M264" s="92"/>
      <c r="N264" s="92"/>
      <c r="O264" s="93">
        <v>0</v>
      </c>
      <c r="P264" s="86"/>
      <c r="Q264" s="82">
        <f t="shared" si="33"/>
        <v>75</v>
      </c>
    </row>
    <row r="265" spans="1:17" ht="20.25" customHeight="1">
      <c r="A265" s="85"/>
      <c r="B265" s="102"/>
      <c r="C265" s="86"/>
      <c r="D265" s="87"/>
      <c r="E265" s="88" t="str">
        <f>IFERROR(VLOOKUP(D265,ProductMaster!$A:$B,2,FALSE),"")</f>
        <v/>
      </c>
      <c r="F265" s="88" t="str">
        <f>IFERROR(VLOOKUP(D265,ProductMaster!$A:$C,3,FALSE),"")</f>
        <v/>
      </c>
      <c r="G265" s="89" t="str">
        <f>IFERROR(VLOOKUP($D265,ProductMaster!$A:$O,4,FALSE),"")</f>
        <v/>
      </c>
      <c r="H265" s="90"/>
      <c r="I265" s="123">
        <f>IFERROR(VLOOKUP(E265,ProductMaster!B:G,6,FALSE),0)</f>
        <v>0</v>
      </c>
      <c r="J265" s="123">
        <f t="shared" si="34"/>
        <v>0</v>
      </c>
      <c r="K265" s="123">
        <f t="shared" si="32"/>
        <v>0</v>
      </c>
      <c r="L265" s="91"/>
      <c r="M265" s="92"/>
      <c r="N265" s="92"/>
      <c r="O265" s="93">
        <v>0</v>
      </c>
      <c r="P265" s="86"/>
      <c r="Q265" s="82">
        <f t="shared" si="33"/>
        <v>76</v>
      </c>
    </row>
    <row r="266" spans="1:17" ht="20.25" customHeight="1">
      <c r="A266" s="85"/>
      <c r="B266" s="102"/>
      <c r="C266" s="86"/>
      <c r="D266" s="87"/>
      <c r="E266" s="88" t="str">
        <f>IFERROR(VLOOKUP(D266,ProductMaster!$A:$B,2,FALSE),"")</f>
        <v/>
      </c>
      <c r="F266" s="88" t="str">
        <f>IFERROR(VLOOKUP(D266,ProductMaster!$A:$C,3,FALSE),"")</f>
        <v/>
      </c>
      <c r="G266" s="89" t="str">
        <f>IFERROR(VLOOKUP($D266,ProductMaster!$A:$O,4,FALSE),"")</f>
        <v/>
      </c>
      <c r="H266" s="90"/>
      <c r="I266" s="123">
        <f>IFERROR(VLOOKUP(E266,ProductMaster!B:G,6,FALSE),0)</f>
        <v>0</v>
      </c>
      <c r="J266" s="123">
        <f t="shared" si="34"/>
        <v>0</v>
      </c>
      <c r="K266" s="123">
        <f t="shared" ref="K266:K329" si="35">ROUND(SUM(H266*I266),2)</f>
        <v>0</v>
      </c>
      <c r="L266" s="91"/>
      <c r="M266" s="92"/>
      <c r="N266" s="92"/>
      <c r="O266" s="93">
        <v>0</v>
      </c>
      <c r="P266" s="86"/>
      <c r="Q266" s="82">
        <f t="shared" si="33"/>
        <v>77</v>
      </c>
    </row>
    <row r="267" spans="1:17" ht="20.25" customHeight="1">
      <c r="A267" s="85"/>
      <c r="B267" s="102"/>
      <c r="C267" s="86"/>
      <c r="D267" s="87"/>
      <c r="E267" s="88" t="str">
        <f>IFERROR(VLOOKUP(D267,ProductMaster!$A:$B,2,FALSE),"")</f>
        <v/>
      </c>
      <c r="F267" s="88" t="str">
        <f>IFERROR(VLOOKUP(D267,ProductMaster!$A:$C,3,FALSE),"")</f>
        <v/>
      </c>
      <c r="G267" s="89" t="str">
        <f>IFERROR(VLOOKUP($D267,ProductMaster!$A:$O,4,FALSE),"")</f>
        <v/>
      </c>
      <c r="H267" s="90"/>
      <c r="I267" s="123">
        <f>IFERROR(VLOOKUP(E267,ProductMaster!B:G,6,FALSE),0)</f>
        <v>0</v>
      </c>
      <c r="J267" s="123">
        <f t="shared" si="34"/>
        <v>0</v>
      </c>
      <c r="K267" s="123">
        <f t="shared" si="35"/>
        <v>0</v>
      </c>
      <c r="L267" s="91"/>
      <c r="M267" s="92"/>
      <c r="N267" s="92"/>
      <c r="O267" s="93">
        <v>0</v>
      </c>
      <c r="P267" s="86"/>
      <c r="Q267" s="82">
        <f t="shared" si="33"/>
        <v>78</v>
      </c>
    </row>
    <row r="268" spans="1:17" ht="20.25" customHeight="1">
      <c r="A268" s="85"/>
      <c r="B268" s="102"/>
      <c r="C268" s="86"/>
      <c r="D268" s="87"/>
      <c r="E268" s="88" t="str">
        <f>IFERROR(VLOOKUP(D268,ProductMaster!$A:$B,2,FALSE),"")</f>
        <v/>
      </c>
      <c r="F268" s="88" t="str">
        <f>IFERROR(VLOOKUP(D268,ProductMaster!$A:$C,3,FALSE),"")</f>
        <v/>
      </c>
      <c r="G268" s="89" t="str">
        <f>IFERROR(VLOOKUP($D268,ProductMaster!$A:$O,4,FALSE),"")</f>
        <v/>
      </c>
      <c r="H268" s="90"/>
      <c r="I268" s="123">
        <f>IFERROR(VLOOKUP(E268,ProductMaster!B:G,6,FALSE),0)</f>
        <v>0</v>
      </c>
      <c r="J268" s="123">
        <f t="shared" si="34"/>
        <v>0</v>
      </c>
      <c r="K268" s="123">
        <f t="shared" si="35"/>
        <v>0</v>
      </c>
      <c r="L268" s="91"/>
      <c r="M268" s="92"/>
      <c r="N268" s="92"/>
      <c r="O268" s="93">
        <v>0</v>
      </c>
      <c r="P268" s="86"/>
      <c r="Q268" s="82">
        <f t="shared" si="33"/>
        <v>79</v>
      </c>
    </row>
    <row r="269" spans="1:17" ht="20.25" customHeight="1">
      <c r="A269" s="85"/>
      <c r="B269" s="102"/>
      <c r="C269" s="86"/>
      <c r="D269" s="87"/>
      <c r="E269" s="88" t="str">
        <f>IFERROR(VLOOKUP(D269,ProductMaster!$A:$B,2,FALSE),"")</f>
        <v/>
      </c>
      <c r="F269" s="88" t="str">
        <f>IFERROR(VLOOKUP(D269,ProductMaster!$A:$C,3,FALSE),"")</f>
        <v/>
      </c>
      <c r="G269" s="89" t="str">
        <f>IFERROR(VLOOKUP($D269,ProductMaster!$A:$O,4,FALSE),"")</f>
        <v/>
      </c>
      <c r="H269" s="90"/>
      <c r="I269" s="123">
        <f>IFERROR(VLOOKUP(E269,ProductMaster!B:G,6,FALSE),0)</f>
        <v>0</v>
      </c>
      <c r="J269" s="123">
        <f t="shared" si="34"/>
        <v>0</v>
      </c>
      <c r="K269" s="123">
        <f t="shared" si="35"/>
        <v>0</v>
      </c>
      <c r="L269" s="91"/>
      <c r="M269" s="92"/>
      <c r="N269" s="92"/>
      <c r="O269" s="93">
        <v>0</v>
      </c>
      <c r="P269" s="86"/>
      <c r="Q269" s="82">
        <f t="shared" si="33"/>
        <v>80</v>
      </c>
    </row>
    <row r="270" spans="1:17" ht="20.25" customHeight="1">
      <c r="A270" s="85"/>
      <c r="B270" s="102"/>
      <c r="C270" s="86"/>
      <c r="D270" s="87"/>
      <c r="E270" s="88" t="str">
        <f>IFERROR(VLOOKUP(D270,ProductMaster!$A:$B,2,FALSE),"")</f>
        <v/>
      </c>
      <c r="F270" s="88" t="str">
        <f>IFERROR(VLOOKUP(D270,ProductMaster!$A:$C,3,FALSE),"")</f>
        <v/>
      </c>
      <c r="G270" s="89" t="str">
        <f>IFERROR(VLOOKUP($D270,ProductMaster!$A:$O,4,FALSE),"")</f>
        <v/>
      </c>
      <c r="H270" s="90"/>
      <c r="I270" s="123">
        <f>IFERROR(VLOOKUP(E270,ProductMaster!B:G,6,FALSE),0)</f>
        <v>0</v>
      </c>
      <c r="J270" s="123">
        <f t="shared" si="34"/>
        <v>0</v>
      </c>
      <c r="K270" s="123">
        <f t="shared" si="35"/>
        <v>0</v>
      </c>
      <c r="L270" s="91"/>
      <c r="M270" s="92"/>
      <c r="N270" s="92"/>
      <c r="O270" s="93">
        <v>0</v>
      </c>
      <c r="P270" s="86"/>
      <c r="Q270" s="82">
        <f t="shared" si="33"/>
        <v>81</v>
      </c>
    </row>
    <row r="271" spans="1:17" ht="20.25" customHeight="1">
      <c r="A271" s="85"/>
      <c r="B271" s="102"/>
      <c r="C271" s="86"/>
      <c r="D271" s="87"/>
      <c r="E271" s="88" t="str">
        <f>IFERROR(VLOOKUP(D271,ProductMaster!$A:$B,2,FALSE),"")</f>
        <v/>
      </c>
      <c r="F271" s="88" t="str">
        <f>IFERROR(VLOOKUP(D271,ProductMaster!$A:$C,3,FALSE),"")</f>
        <v/>
      </c>
      <c r="G271" s="89" t="str">
        <f>IFERROR(VLOOKUP($D271,ProductMaster!$A:$O,4,FALSE),"")</f>
        <v/>
      </c>
      <c r="H271" s="90"/>
      <c r="I271" s="123">
        <f>IFERROR(VLOOKUP(E271,ProductMaster!B:G,6,FALSE),0)</f>
        <v>0</v>
      </c>
      <c r="J271" s="123">
        <f t="shared" si="34"/>
        <v>0</v>
      </c>
      <c r="K271" s="123">
        <f t="shared" si="35"/>
        <v>0</v>
      </c>
      <c r="L271" s="91"/>
      <c r="M271" s="92"/>
      <c r="N271" s="92"/>
      <c r="O271" s="93">
        <v>0</v>
      </c>
      <c r="P271" s="86"/>
      <c r="Q271" s="82">
        <f t="shared" si="33"/>
        <v>82</v>
      </c>
    </row>
    <row r="272" spans="1:17" ht="20.25" customHeight="1">
      <c r="A272" s="85"/>
      <c r="B272" s="102"/>
      <c r="C272" s="86"/>
      <c r="D272" s="87"/>
      <c r="E272" s="88" t="str">
        <f>IFERROR(VLOOKUP(D272,ProductMaster!$A:$B,2,FALSE),"")</f>
        <v/>
      </c>
      <c r="F272" s="88" t="str">
        <f>IFERROR(VLOOKUP(D272,ProductMaster!$A:$C,3,FALSE),"")</f>
        <v/>
      </c>
      <c r="G272" s="89" t="str">
        <f>IFERROR(VLOOKUP($D272,ProductMaster!$A:$O,4,FALSE),"")</f>
        <v/>
      </c>
      <c r="H272" s="90"/>
      <c r="I272" s="123">
        <f>IFERROR(VLOOKUP(E272,ProductMaster!B:G,6,FALSE),0)</f>
        <v>0</v>
      </c>
      <c r="J272" s="123">
        <f t="shared" si="34"/>
        <v>0</v>
      </c>
      <c r="K272" s="123">
        <f t="shared" si="35"/>
        <v>0</v>
      </c>
      <c r="L272" s="91"/>
      <c r="M272" s="92"/>
      <c r="N272" s="92"/>
      <c r="O272" s="93">
        <v>0</v>
      </c>
      <c r="P272" s="86"/>
      <c r="Q272" s="82">
        <f t="shared" si="33"/>
        <v>83</v>
      </c>
    </row>
    <row r="273" spans="1:17" ht="20.25" customHeight="1">
      <c r="A273" s="85"/>
      <c r="B273" s="102"/>
      <c r="C273" s="86"/>
      <c r="D273" s="87"/>
      <c r="E273" s="88" t="str">
        <f>IFERROR(VLOOKUP(D273,ProductMaster!$A:$B,2,FALSE),"")</f>
        <v/>
      </c>
      <c r="F273" s="88" t="str">
        <f>IFERROR(VLOOKUP(D273,ProductMaster!$A:$C,3,FALSE),"")</f>
        <v/>
      </c>
      <c r="G273" s="89" t="str">
        <f>IFERROR(VLOOKUP($D273,ProductMaster!$A:$O,4,FALSE),"")</f>
        <v/>
      </c>
      <c r="H273" s="90"/>
      <c r="I273" s="123">
        <f>IFERROR(VLOOKUP(E273,ProductMaster!B:G,6,FALSE),0)</f>
        <v>0</v>
      </c>
      <c r="J273" s="123">
        <f t="shared" si="34"/>
        <v>0</v>
      </c>
      <c r="K273" s="123">
        <f t="shared" si="35"/>
        <v>0</v>
      </c>
      <c r="L273" s="91"/>
      <c r="M273" s="92"/>
      <c r="N273" s="92"/>
      <c r="O273" s="93">
        <v>0</v>
      </c>
      <c r="P273" s="86"/>
      <c r="Q273" s="82">
        <f t="shared" si="33"/>
        <v>84</v>
      </c>
    </row>
    <row r="274" spans="1:17" ht="20.25" customHeight="1">
      <c r="A274" s="85"/>
      <c r="B274" s="102"/>
      <c r="C274" s="86"/>
      <c r="D274" s="87"/>
      <c r="E274" s="88" t="str">
        <f>IFERROR(VLOOKUP(D274,ProductMaster!$A:$B,2,FALSE),"")</f>
        <v/>
      </c>
      <c r="F274" s="88" t="str">
        <f>IFERROR(VLOOKUP(D274,ProductMaster!$A:$C,3,FALSE),"")</f>
        <v/>
      </c>
      <c r="G274" s="89" t="str">
        <f>IFERROR(VLOOKUP($D274,ProductMaster!$A:$O,4,FALSE),"")</f>
        <v/>
      </c>
      <c r="H274" s="90"/>
      <c r="I274" s="123">
        <f>IFERROR(VLOOKUP(E274,ProductMaster!B:G,6,FALSE),0)</f>
        <v>0</v>
      </c>
      <c r="J274" s="123">
        <f t="shared" si="34"/>
        <v>0</v>
      </c>
      <c r="K274" s="123">
        <f t="shared" si="35"/>
        <v>0</v>
      </c>
      <c r="L274" s="91"/>
      <c r="M274" s="92"/>
      <c r="N274" s="92"/>
      <c r="O274" s="93">
        <v>0</v>
      </c>
      <c r="P274" s="86"/>
      <c r="Q274" s="82">
        <f t="shared" si="33"/>
        <v>85</v>
      </c>
    </row>
    <row r="275" spans="1:17" ht="20.25" customHeight="1">
      <c r="A275" s="85"/>
      <c r="B275" s="102"/>
      <c r="C275" s="86"/>
      <c r="D275" s="87"/>
      <c r="E275" s="88" t="str">
        <f>IFERROR(VLOOKUP(D275,ProductMaster!$A:$B,2,FALSE),"")</f>
        <v/>
      </c>
      <c r="F275" s="88" t="str">
        <f>IFERROR(VLOOKUP(D275,ProductMaster!$A:$C,3,FALSE),"")</f>
        <v/>
      </c>
      <c r="G275" s="89" t="str">
        <f>IFERROR(VLOOKUP($D275,ProductMaster!$A:$O,4,FALSE),"")</f>
        <v/>
      </c>
      <c r="H275" s="90"/>
      <c r="I275" s="123">
        <f>IFERROR(VLOOKUP(E275,ProductMaster!B:G,6,FALSE),0)</f>
        <v>0</v>
      </c>
      <c r="J275" s="123">
        <f t="shared" si="34"/>
        <v>0</v>
      </c>
      <c r="K275" s="123">
        <f t="shared" si="35"/>
        <v>0</v>
      </c>
      <c r="L275" s="91"/>
      <c r="M275" s="92"/>
      <c r="N275" s="92"/>
      <c r="O275" s="93">
        <v>0</v>
      </c>
      <c r="P275" s="86"/>
      <c r="Q275" s="82">
        <f t="shared" si="33"/>
        <v>86</v>
      </c>
    </row>
    <row r="276" spans="1:17" ht="20.25" customHeight="1">
      <c r="A276" s="85"/>
      <c r="B276" s="102"/>
      <c r="C276" s="86"/>
      <c r="D276" s="87"/>
      <c r="E276" s="88" t="str">
        <f>IFERROR(VLOOKUP(D276,ProductMaster!$A:$B,2,FALSE),"")</f>
        <v/>
      </c>
      <c r="F276" s="88" t="str">
        <f>IFERROR(VLOOKUP(D276,ProductMaster!$A:$C,3,FALSE),"")</f>
        <v/>
      </c>
      <c r="G276" s="89" t="str">
        <f>IFERROR(VLOOKUP($D276,ProductMaster!$A:$O,4,FALSE),"")</f>
        <v/>
      </c>
      <c r="H276" s="90"/>
      <c r="I276" s="123">
        <f>IFERROR(VLOOKUP(E276,ProductMaster!B:G,6,FALSE),0)</f>
        <v>0</v>
      </c>
      <c r="J276" s="123">
        <f t="shared" si="34"/>
        <v>0</v>
      </c>
      <c r="K276" s="123">
        <f t="shared" si="35"/>
        <v>0</v>
      </c>
      <c r="L276" s="91"/>
      <c r="M276" s="92"/>
      <c r="N276" s="92"/>
      <c r="O276" s="93">
        <v>0</v>
      </c>
      <c r="P276" s="86"/>
      <c r="Q276" s="82">
        <f t="shared" si="33"/>
        <v>87</v>
      </c>
    </row>
    <row r="277" spans="1:17" ht="20.25" customHeight="1">
      <c r="A277" s="85"/>
      <c r="B277" s="102"/>
      <c r="C277" s="86"/>
      <c r="D277" s="87"/>
      <c r="E277" s="88" t="str">
        <f>IFERROR(VLOOKUP(D277,ProductMaster!$A:$B,2,FALSE),"")</f>
        <v/>
      </c>
      <c r="F277" s="88" t="str">
        <f>IFERROR(VLOOKUP(D277,ProductMaster!$A:$C,3,FALSE),"")</f>
        <v/>
      </c>
      <c r="G277" s="89" t="str">
        <f>IFERROR(VLOOKUP($D277,ProductMaster!$A:$O,4,FALSE),"")</f>
        <v/>
      </c>
      <c r="H277" s="90"/>
      <c r="I277" s="123">
        <f>IFERROR(VLOOKUP(E277,ProductMaster!B:G,6,FALSE),0)</f>
        <v>0</v>
      </c>
      <c r="J277" s="123">
        <f t="shared" si="34"/>
        <v>0</v>
      </c>
      <c r="K277" s="123">
        <f t="shared" si="35"/>
        <v>0</v>
      </c>
      <c r="L277" s="91"/>
      <c r="M277" s="92"/>
      <c r="N277" s="92"/>
      <c r="O277" s="93">
        <v>0</v>
      </c>
      <c r="P277" s="86"/>
      <c r="Q277" s="82">
        <f t="shared" si="33"/>
        <v>88</v>
      </c>
    </row>
    <row r="278" spans="1:17" ht="20.25" customHeight="1">
      <c r="A278" s="85"/>
      <c r="B278" s="102"/>
      <c r="C278" s="86"/>
      <c r="D278" s="87"/>
      <c r="E278" s="88" t="str">
        <f>IFERROR(VLOOKUP(D278,ProductMaster!$A:$B,2,FALSE),"")</f>
        <v/>
      </c>
      <c r="F278" s="88" t="str">
        <f>IFERROR(VLOOKUP(D278,ProductMaster!$A:$C,3,FALSE),"")</f>
        <v/>
      </c>
      <c r="G278" s="89" t="str">
        <f>IFERROR(VLOOKUP($D278,ProductMaster!$A:$O,4,FALSE),"")</f>
        <v/>
      </c>
      <c r="H278" s="90"/>
      <c r="I278" s="123">
        <f>IFERROR(VLOOKUP(E278,ProductMaster!B:G,6,FALSE),0)</f>
        <v>0</v>
      </c>
      <c r="J278" s="123">
        <f t="shared" si="34"/>
        <v>0</v>
      </c>
      <c r="K278" s="123">
        <f t="shared" si="35"/>
        <v>0</v>
      </c>
      <c r="L278" s="91"/>
      <c r="M278" s="92"/>
      <c r="N278" s="92"/>
      <c r="O278" s="93">
        <v>0</v>
      </c>
      <c r="P278" s="86"/>
      <c r="Q278" s="82">
        <f t="shared" si="33"/>
        <v>89</v>
      </c>
    </row>
    <row r="279" spans="1:17" ht="20.25" customHeight="1">
      <c r="A279" s="85"/>
      <c r="B279" s="102"/>
      <c r="C279" s="86"/>
      <c r="D279" s="87"/>
      <c r="E279" s="88" t="str">
        <f>IFERROR(VLOOKUP(D279,ProductMaster!$A:$B,2,FALSE),"")</f>
        <v/>
      </c>
      <c r="F279" s="88" t="str">
        <f>IFERROR(VLOOKUP(D279,ProductMaster!$A:$C,3,FALSE),"")</f>
        <v/>
      </c>
      <c r="G279" s="89" t="str">
        <f>IFERROR(VLOOKUP($D279,ProductMaster!$A:$O,4,FALSE),"")</f>
        <v/>
      </c>
      <c r="H279" s="90"/>
      <c r="I279" s="123">
        <f>IFERROR(VLOOKUP(E279,ProductMaster!B:G,6,FALSE),0)</f>
        <v>0</v>
      </c>
      <c r="J279" s="123">
        <f t="shared" si="34"/>
        <v>0</v>
      </c>
      <c r="K279" s="123">
        <f t="shared" si="35"/>
        <v>0</v>
      </c>
      <c r="L279" s="91"/>
      <c r="M279" s="92"/>
      <c r="N279" s="92"/>
      <c r="O279" s="93">
        <v>0</v>
      </c>
      <c r="P279" s="86"/>
      <c r="Q279" s="82">
        <f t="shared" si="33"/>
        <v>90</v>
      </c>
    </row>
    <row r="280" spans="1:17" ht="20.25" customHeight="1">
      <c r="A280" s="85"/>
      <c r="B280" s="102"/>
      <c r="C280" s="86"/>
      <c r="D280" s="87"/>
      <c r="E280" s="88" t="str">
        <f>IFERROR(VLOOKUP(D280,ProductMaster!$A:$B,2,FALSE),"")</f>
        <v/>
      </c>
      <c r="F280" s="88" t="str">
        <f>IFERROR(VLOOKUP(D280,ProductMaster!$A:$C,3,FALSE),"")</f>
        <v/>
      </c>
      <c r="G280" s="89" t="str">
        <f>IFERROR(VLOOKUP($D280,ProductMaster!$A:$O,4,FALSE),"")</f>
        <v/>
      </c>
      <c r="H280" s="90"/>
      <c r="I280" s="123">
        <f>IFERROR(VLOOKUP(E280,ProductMaster!B:G,6,FALSE),0)</f>
        <v>0</v>
      </c>
      <c r="J280" s="123">
        <f t="shared" si="34"/>
        <v>0</v>
      </c>
      <c r="K280" s="123">
        <f t="shared" si="35"/>
        <v>0</v>
      </c>
      <c r="L280" s="91"/>
      <c r="M280" s="92"/>
      <c r="N280" s="92"/>
      <c r="O280" s="93">
        <v>0</v>
      </c>
      <c r="P280" s="86"/>
      <c r="Q280" s="82">
        <f t="shared" si="33"/>
        <v>91</v>
      </c>
    </row>
    <row r="281" spans="1:17" ht="20.25" customHeight="1">
      <c r="A281" s="85"/>
      <c r="B281" s="102"/>
      <c r="C281" s="86"/>
      <c r="D281" s="87"/>
      <c r="E281" s="88" t="str">
        <f>IFERROR(VLOOKUP(D281,ProductMaster!$A:$B,2,FALSE),"")</f>
        <v/>
      </c>
      <c r="F281" s="88" t="str">
        <f>IFERROR(VLOOKUP(D281,ProductMaster!$A:$C,3,FALSE),"")</f>
        <v/>
      </c>
      <c r="G281" s="89" t="str">
        <f>IFERROR(VLOOKUP($D281,ProductMaster!$A:$O,4,FALSE),"")</f>
        <v/>
      </c>
      <c r="H281" s="90"/>
      <c r="I281" s="123">
        <f>IFERROR(VLOOKUP(E281,ProductMaster!B:G,6,FALSE),0)</f>
        <v>0</v>
      </c>
      <c r="J281" s="123">
        <f t="shared" si="34"/>
        <v>0</v>
      </c>
      <c r="K281" s="123">
        <f t="shared" si="35"/>
        <v>0</v>
      </c>
      <c r="L281" s="91"/>
      <c r="M281" s="92"/>
      <c r="N281" s="92"/>
      <c r="O281" s="93">
        <v>0</v>
      </c>
      <c r="P281" s="86"/>
      <c r="Q281" s="82">
        <f t="shared" si="33"/>
        <v>92</v>
      </c>
    </row>
    <row r="282" spans="1:17" ht="20.25" customHeight="1">
      <c r="A282" s="85"/>
      <c r="B282" s="102"/>
      <c r="C282" s="86"/>
      <c r="D282" s="87"/>
      <c r="E282" s="88" t="str">
        <f>IFERROR(VLOOKUP(D282,ProductMaster!$A:$B,2,FALSE),"")</f>
        <v/>
      </c>
      <c r="F282" s="88" t="str">
        <f>IFERROR(VLOOKUP(D282,ProductMaster!$A:$C,3,FALSE),"")</f>
        <v/>
      </c>
      <c r="G282" s="89" t="str">
        <f>IFERROR(VLOOKUP($D282,ProductMaster!$A:$O,4,FALSE),"")</f>
        <v/>
      </c>
      <c r="H282" s="90"/>
      <c r="I282" s="123">
        <f>IFERROR(VLOOKUP(E282,ProductMaster!B:G,6,FALSE),0)</f>
        <v>0</v>
      </c>
      <c r="J282" s="123">
        <f t="shared" si="34"/>
        <v>0</v>
      </c>
      <c r="K282" s="123">
        <f t="shared" si="35"/>
        <v>0</v>
      </c>
      <c r="L282" s="91"/>
      <c r="M282" s="92"/>
      <c r="N282" s="92"/>
      <c r="O282" s="93">
        <v>0</v>
      </c>
      <c r="P282" s="86"/>
      <c r="Q282" s="82">
        <f t="shared" si="33"/>
        <v>93</v>
      </c>
    </row>
    <row r="283" spans="1:17" ht="20.25" customHeight="1">
      <c r="A283" s="85"/>
      <c r="B283" s="102"/>
      <c r="C283" s="86"/>
      <c r="D283" s="87"/>
      <c r="E283" s="88" t="str">
        <f>IFERROR(VLOOKUP(D283,ProductMaster!$A:$B,2,FALSE),"")</f>
        <v/>
      </c>
      <c r="F283" s="88" t="str">
        <f>IFERROR(VLOOKUP(D283,ProductMaster!$A:$C,3,FALSE),"")</f>
        <v/>
      </c>
      <c r="G283" s="89" t="str">
        <f>IFERROR(VLOOKUP($D283,ProductMaster!$A:$O,4,FALSE),"")</f>
        <v/>
      </c>
      <c r="H283" s="90"/>
      <c r="I283" s="123">
        <f>IFERROR(VLOOKUP(E283,ProductMaster!B:G,6,FALSE),0)</f>
        <v>0</v>
      </c>
      <c r="J283" s="123">
        <f t="shared" si="34"/>
        <v>0</v>
      </c>
      <c r="K283" s="123">
        <f t="shared" si="35"/>
        <v>0</v>
      </c>
      <c r="L283" s="91"/>
      <c r="M283" s="92"/>
      <c r="N283" s="92"/>
      <c r="O283" s="93">
        <v>0</v>
      </c>
      <c r="P283" s="86"/>
      <c r="Q283" s="82">
        <f t="shared" si="33"/>
        <v>94</v>
      </c>
    </row>
    <row r="284" spans="1:17" ht="20.25" customHeight="1">
      <c r="A284" s="85"/>
      <c r="B284" s="102"/>
      <c r="C284" s="86"/>
      <c r="D284" s="87"/>
      <c r="E284" s="88" t="str">
        <f>IFERROR(VLOOKUP(D284,ProductMaster!$A:$B,2,FALSE),"")</f>
        <v/>
      </c>
      <c r="F284" s="88" t="str">
        <f>IFERROR(VLOOKUP(D284,ProductMaster!$A:$C,3,FALSE),"")</f>
        <v/>
      </c>
      <c r="G284" s="89" t="str">
        <f>IFERROR(VLOOKUP($D284,ProductMaster!$A:$O,4,FALSE),"")</f>
        <v/>
      </c>
      <c r="H284" s="90"/>
      <c r="I284" s="123">
        <f>IFERROR(VLOOKUP(E284,ProductMaster!B:G,6,FALSE),0)</f>
        <v>0</v>
      </c>
      <c r="J284" s="123">
        <f t="shared" si="34"/>
        <v>0</v>
      </c>
      <c r="K284" s="123">
        <f t="shared" si="35"/>
        <v>0</v>
      </c>
      <c r="L284" s="91"/>
      <c r="M284" s="92"/>
      <c r="N284" s="92"/>
      <c r="O284" s="93">
        <v>0</v>
      </c>
      <c r="P284" s="86"/>
      <c r="Q284" s="82">
        <f t="shared" si="33"/>
        <v>95</v>
      </c>
    </row>
    <row r="285" spans="1:17" ht="20.25" customHeight="1">
      <c r="A285" s="85"/>
      <c r="B285" s="102"/>
      <c r="C285" s="86"/>
      <c r="D285" s="87"/>
      <c r="E285" s="88" t="str">
        <f>IFERROR(VLOOKUP(D285,ProductMaster!$A:$B,2,FALSE),"")</f>
        <v/>
      </c>
      <c r="F285" s="88" t="str">
        <f>IFERROR(VLOOKUP(D285,ProductMaster!$A:$C,3,FALSE),"")</f>
        <v/>
      </c>
      <c r="G285" s="89" t="str">
        <f>IFERROR(VLOOKUP($D285,ProductMaster!$A:$O,4,FALSE),"")</f>
        <v/>
      </c>
      <c r="H285" s="90"/>
      <c r="I285" s="123">
        <f>IFERROR(VLOOKUP(E285,ProductMaster!B:G,6,FALSE),0)</f>
        <v>0</v>
      </c>
      <c r="J285" s="123">
        <f t="shared" si="34"/>
        <v>0</v>
      </c>
      <c r="K285" s="123">
        <f t="shared" si="35"/>
        <v>0</v>
      </c>
      <c r="L285" s="91"/>
      <c r="M285" s="92"/>
      <c r="N285" s="92"/>
      <c r="O285" s="93">
        <v>0</v>
      </c>
      <c r="P285" s="86"/>
      <c r="Q285" s="82">
        <f t="shared" si="33"/>
        <v>96</v>
      </c>
    </row>
    <row r="286" spans="1:17" ht="20.25" customHeight="1">
      <c r="A286" s="85"/>
      <c r="B286" s="102"/>
      <c r="C286" s="86"/>
      <c r="D286" s="87"/>
      <c r="E286" s="88" t="str">
        <f>IFERROR(VLOOKUP(D286,ProductMaster!$A:$B,2,FALSE),"")</f>
        <v/>
      </c>
      <c r="F286" s="88" t="str">
        <f>IFERROR(VLOOKUP(D286,ProductMaster!$A:$C,3,FALSE),"")</f>
        <v/>
      </c>
      <c r="G286" s="89" t="str">
        <f>IFERROR(VLOOKUP($D286,ProductMaster!$A:$O,4,FALSE),"")</f>
        <v/>
      </c>
      <c r="H286" s="90"/>
      <c r="I286" s="123">
        <f>IFERROR(VLOOKUP(E286,ProductMaster!B:G,6,FALSE),0)</f>
        <v>0</v>
      </c>
      <c r="J286" s="123">
        <f t="shared" si="34"/>
        <v>0</v>
      </c>
      <c r="K286" s="123">
        <f t="shared" si="35"/>
        <v>0</v>
      </c>
      <c r="L286" s="91"/>
      <c r="M286" s="92"/>
      <c r="N286" s="92"/>
      <c r="O286" s="93">
        <v>0</v>
      </c>
      <c r="P286" s="86"/>
      <c r="Q286" s="82">
        <f t="shared" si="33"/>
        <v>97</v>
      </c>
    </row>
    <row r="287" spans="1:17" ht="20.25" customHeight="1">
      <c r="A287" s="85"/>
      <c r="B287" s="102"/>
      <c r="C287" s="86"/>
      <c r="D287" s="87"/>
      <c r="E287" s="88" t="str">
        <f>IFERROR(VLOOKUP(D287,ProductMaster!$A:$B,2,FALSE),"")</f>
        <v/>
      </c>
      <c r="F287" s="88" t="str">
        <f>IFERROR(VLOOKUP(D287,ProductMaster!$A:$C,3,FALSE),"")</f>
        <v/>
      </c>
      <c r="G287" s="89" t="str">
        <f>IFERROR(VLOOKUP($D287,ProductMaster!$A:$O,4,FALSE),"")</f>
        <v/>
      </c>
      <c r="H287" s="90"/>
      <c r="I287" s="123">
        <f>IFERROR(VLOOKUP(E287,ProductMaster!B:G,6,FALSE),0)</f>
        <v>0</v>
      </c>
      <c r="J287" s="123">
        <f t="shared" si="34"/>
        <v>0</v>
      </c>
      <c r="K287" s="123">
        <f t="shared" si="35"/>
        <v>0</v>
      </c>
      <c r="L287" s="91"/>
      <c r="M287" s="92"/>
      <c r="N287" s="92"/>
      <c r="O287" s="93">
        <v>0</v>
      </c>
      <c r="P287" s="86"/>
      <c r="Q287" s="82">
        <f t="shared" si="33"/>
        <v>98</v>
      </c>
    </row>
    <row r="288" spans="1:17" ht="20.25" customHeight="1">
      <c r="A288" s="85"/>
      <c r="B288" s="102"/>
      <c r="C288" s="86"/>
      <c r="D288" s="87"/>
      <c r="E288" s="88" t="str">
        <f>IFERROR(VLOOKUP(D288,ProductMaster!$A:$B,2,FALSE),"")</f>
        <v/>
      </c>
      <c r="F288" s="88" t="str">
        <f>IFERROR(VLOOKUP(D288,ProductMaster!$A:$C,3,FALSE),"")</f>
        <v/>
      </c>
      <c r="G288" s="89" t="str">
        <f>IFERROR(VLOOKUP($D288,ProductMaster!$A:$O,4,FALSE),"")</f>
        <v/>
      </c>
      <c r="H288" s="90"/>
      <c r="I288" s="123">
        <f>IFERROR(VLOOKUP(E288,ProductMaster!B:G,6,FALSE),0)</f>
        <v>0</v>
      </c>
      <c r="J288" s="123">
        <f t="shared" si="34"/>
        <v>0</v>
      </c>
      <c r="K288" s="123">
        <f t="shared" si="35"/>
        <v>0</v>
      </c>
      <c r="L288" s="91"/>
      <c r="M288" s="92"/>
      <c r="N288" s="92"/>
      <c r="O288" s="93">
        <v>0</v>
      </c>
      <c r="P288" s="86"/>
      <c r="Q288" s="82">
        <f t="shared" si="33"/>
        <v>99</v>
      </c>
    </row>
    <row r="289" spans="1:17" ht="20.25" customHeight="1">
      <c r="A289" s="85"/>
      <c r="B289" s="102"/>
      <c r="C289" s="86"/>
      <c r="D289" s="87"/>
      <c r="E289" s="88" t="str">
        <f>IFERROR(VLOOKUP(D289,ProductMaster!$A:$B,2,FALSE),"")</f>
        <v/>
      </c>
      <c r="F289" s="88" t="str">
        <f>IFERROR(VLOOKUP(D289,ProductMaster!$A:$C,3,FALSE),"")</f>
        <v/>
      </c>
      <c r="G289" s="89" t="str">
        <f>IFERROR(VLOOKUP($D289,ProductMaster!$A:$O,4,FALSE),"")</f>
        <v/>
      </c>
      <c r="H289" s="90"/>
      <c r="I289" s="123">
        <f>IFERROR(VLOOKUP(E289,ProductMaster!B:G,6,FALSE),0)</f>
        <v>0</v>
      </c>
      <c r="J289" s="123">
        <f t="shared" si="34"/>
        <v>0</v>
      </c>
      <c r="K289" s="123">
        <f t="shared" si="35"/>
        <v>0</v>
      </c>
      <c r="L289" s="91"/>
      <c r="M289" s="92"/>
      <c r="N289" s="92"/>
      <c r="O289" s="93">
        <v>0</v>
      </c>
      <c r="P289" s="86"/>
      <c r="Q289" s="82">
        <f t="shared" si="33"/>
        <v>100</v>
      </c>
    </row>
    <row r="290" spans="1:17" ht="20.25" customHeight="1">
      <c r="A290" s="85"/>
      <c r="B290" s="102"/>
      <c r="C290" s="86"/>
      <c r="D290" s="87"/>
      <c r="E290" s="88" t="str">
        <f>IFERROR(VLOOKUP(D290,ProductMaster!$A:$B,2,FALSE),"")</f>
        <v/>
      </c>
      <c r="F290" s="88" t="str">
        <f>IFERROR(VLOOKUP(D290,ProductMaster!$A:$C,3,FALSE),"")</f>
        <v/>
      </c>
      <c r="G290" s="89" t="str">
        <f>IFERROR(VLOOKUP($D290,ProductMaster!$A:$O,4,FALSE),"")</f>
        <v/>
      </c>
      <c r="H290" s="90"/>
      <c r="I290" s="123">
        <f>IFERROR(VLOOKUP(E290,ProductMaster!B:G,6,FALSE),0)</f>
        <v>0</v>
      </c>
      <c r="J290" s="123">
        <f t="shared" si="34"/>
        <v>0</v>
      </c>
      <c r="K290" s="123">
        <f t="shared" si="35"/>
        <v>0</v>
      </c>
      <c r="L290" s="91"/>
      <c r="M290" s="92"/>
      <c r="N290" s="92"/>
      <c r="O290" s="93">
        <v>0</v>
      </c>
      <c r="P290" s="86"/>
      <c r="Q290" s="82">
        <f t="shared" si="33"/>
        <v>101</v>
      </c>
    </row>
    <row r="291" spans="1:17" ht="20.25" customHeight="1">
      <c r="A291" s="85"/>
      <c r="B291" s="102"/>
      <c r="C291" s="86"/>
      <c r="D291" s="87"/>
      <c r="E291" s="88" t="str">
        <f>IFERROR(VLOOKUP(D291,ProductMaster!$A:$B,2,FALSE),"")</f>
        <v/>
      </c>
      <c r="F291" s="88" t="str">
        <f>IFERROR(VLOOKUP(D291,ProductMaster!$A:$C,3,FALSE),"")</f>
        <v/>
      </c>
      <c r="G291" s="89" t="str">
        <f>IFERROR(VLOOKUP($D291,ProductMaster!$A:$O,4,FALSE),"")</f>
        <v/>
      </c>
      <c r="H291" s="90"/>
      <c r="I291" s="123">
        <f>IFERROR(VLOOKUP(E291,ProductMaster!B:G,6,FALSE),0)</f>
        <v>0</v>
      </c>
      <c r="J291" s="123">
        <f t="shared" si="34"/>
        <v>0</v>
      </c>
      <c r="K291" s="123">
        <f t="shared" si="35"/>
        <v>0</v>
      </c>
      <c r="L291" s="91"/>
      <c r="M291" s="92"/>
      <c r="N291" s="92"/>
      <c r="O291" s="93">
        <v>0</v>
      </c>
      <c r="P291" s="86"/>
      <c r="Q291" s="82">
        <f t="shared" si="33"/>
        <v>102</v>
      </c>
    </row>
    <row r="292" spans="1:17" ht="20.25" customHeight="1">
      <c r="A292" s="85"/>
      <c r="B292" s="102"/>
      <c r="C292" s="86"/>
      <c r="D292" s="87"/>
      <c r="E292" s="88" t="str">
        <f>IFERROR(VLOOKUP(D292,ProductMaster!$A:$B,2,FALSE),"")</f>
        <v/>
      </c>
      <c r="F292" s="88" t="str">
        <f>IFERROR(VLOOKUP(D292,ProductMaster!$A:$C,3,FALSE),"")</f>
        <v/>
      </c>
      <c r="G292" s="89" t="str">
        <f>IFERROR(VLOOKUP($D292,ProductMaster!$A:$O,4,FALSE),"")</f>
        <v/>
      </c>
      <c r="H292" s="90"/>
      <c r="I292" s="123">
        <f>IFERROR(VLOOKUP(E292,ProductMaster!B:G,6,FALSE),0)</f>
        <v>0</v>
      </c>
      <c r="J292" s="123">
        <f t="shared" si="34"/>
        <v>0</v>
      </c>
      <c r="K292" s="123">
        <f t="shared" si="35"/>
        <v>0</v>
      </c>
      <c r="L292" s="91"/>
      <c r="M292" s="92"/>
      <c r="N292" s="92"/>
      <c r="O292" s="93">
        <v>0</v>
      </c>
      <c r="P292" s="86"/>
      <c r="Q292" s="82">
        <f t="shared" si="33"/>
        <v>103</v>
      </c>
    </row>
    <row r="293" spans="1:17" ht="20.25" customHeight="1">
      <c r="A293" s="85"/>
      <c r="B293" s="102"/>
      <c r="C293" s="86"/>
      <c r="D293" s="87"/>
      <c r="E293" s="88" t="str">
        <f>IFERROR(VLOOKUP(D293,ProductMaster!$A:$B,2,FALSE),"")</f>
        <v/>
      </c>
      <c r="F293" s="88" t="str">
        <f>IFERROR(VLOOKUP(D293,ProductMaster!$A:$C,3,FALSE),"")</f>
        <v/>
      </c>
      <c r="G293" s="89" t="str">
        <f>IFERROR(VLOOKUP($D293,ProductMaster!$A:$O,4,FALSE),"")</f>
        <v/>
      </c>
      <c r="H293" s="90"/>
      <c r="I293" s="123">
        <f>IFERROR(VLOOKUP(E293,ProductMaster!B:G,6,FALSE),0)</f>
        <v>0</v>
      </c>
      <c r="J293" s="123">
        <f t="shared" si="34"/>
        <v>0</v>
      </c>
      <c r="K293" s="123">
        <f t="shared" si="35"/>
        <v>0</v>
      </c>
      <c r="L293" s="91"/>
      <c r="M293" s="92"/>
      <c r="N293" s="92"/>
      <c r="O293" s="93">
        <v>0</v>
      </c>
      <c r="P293" s="86"/>
      <c r="Q293" s="82">
        <f t="shared" si="33"/>
        <v>104</v>
      </c>
    </row>
    <row r="294" spans="1:17" ht="20.25" customHeight="1">
      <c r="A294" s="85"/>
      <c r="B294" s="102"/>
      <c r="C294" s="86"/>
      <c r="D294" s="87"/>
      <c r="E294" s="88" t="str">
        <f>IFERROR(VLOOKUP(D294,ProductMaster!$A:$B,2,FALSE),"")</f>
        <v/>
      </c>
      <c r="F294" s="88" t="str">
        <f>IFERROR(VLOOKUP(D294,ProductMaster!$A:$C,3,FALSE),"")</f>
        <v/>
      </c>
      <c r="G294" s="89" t="str">
        <f>IFERROR(VLOOKUP($D294,ProductMaster!$A:$O,4,FALSE),"")</f>
        <v/>
      </c>
      <c r="H294" s="90"/>
      <c r="I294" s="123">
        <f>IFERROR(VLOOKUP(E294,ProductMaster!B:G,6,FALSE),0)</f>
        <v>0</v>
      </c>
      <c r="J294" s="123">
        <f t="shared" si="34"/>
        <v>0</v>
      </c>
      <c r="K294" s="123">
        <f t="shared" si="35"/>
        <v>0</v>
      </c>
      <c r="L294" s="91"/>
      <c r="M294" s="92"/>
      <c r="N294" s="92"/>
      <c r="O294" s="93">
        <v>0</v>
      </c>
      <c r="P294" s="86"/>
      <c r="Q294" s="82">
        <f t="shared" si="33"/>
        <v>105</v>
      </c>
    </row>
    <row r="295" spans="1:17" ht="20.25" customHeight="1">
      <c r="A295" s="85"/>
      <c r="B295" s="102"/>
      <c r="C295" s="86"/>
      <c r="D295" s="87"/>
      <c r="E295" s="88" t="str">
        <f>IFERROR(VLOOKUP(D295,ProductMaster!$A:$B,2,FALSE),"")</f>
        <v/>
      </c>
      <c r="F295" s="88" t="str">
        <f>IFERROR(VLOOKUP(D295,ProductMaster!$A:$C,3,FALSE),"")</f>
        <v/>
      </c>
      <c r="G295" s="89" t="str">
        <f>IFERROR(VLOOKUP($D295,ProductMaster!$A:$O,4,FALSE),"")</f>
        <v/>
      </c>
      <c r="H295" s="90"/>
      <c r="I295" s="123">
        <f>IFERROR(VLOOKUP(E295,ProductMaster!B:G,6,FALSE),0)</f>
        <v>0</v>
      </c>
      <c r="J295" s="123">
        <f t="shared" si="34"/>
        <v>0</v>
      </c>
      <c r="K295" s="123">
        <f t="shared" si="35"/>
        <v>0</v>
      </c>
      <c r="L295" s="91"/>
      <c r="M295" s="92"/>
      <c r="N295" s="92"/>
      <c r="O295" s="93">
        <v>0</v>
      </c>
      <c r="P295" s="86"/>
      <c r="Q295" s="82">
        <f t="shared" si="33"/>
        <v>106</v>
      </c>
    </row>
    <row r="296" spans="1:17" ht="20.25" customHeight="1">
      <c r="A296" s="85"/>
      <c r="B296" s="102"/>
      <c r="C296" s="86"/>
      <c r="D296" s="87"/>
      <c r="E296" s="88" t="str">
        <f>IFERROR(VLOOKUP(D296,ProductMaster!$A:$B,2,FALSE),"")</f>
        <v/>
      </c>
      <c r="F296" s="88" t="str">
        <f>IFERROR(VLOOKUP(D296,ProductMaster!$A:$C,3,FALSE),"")</f>
        <v/>
      </c>
      <c r="G296" s="89" t="str">
        <f>IFERROR(VLOOKUP($D296,ProductMaster!$A:$O,4,FALSE),"")</f>
        <v/>
      </c>
      <c r="H296" s="90"/>
      <c r="I296" s="123">
        <f>IFERROR(VLOOKUP(E296,ProductMaster!B:G,6,FALSE),0)</f>
        <v>0</v>
      </c>
      <c r="J296" s="123">
        <f t="shared" si="34"/>
        <v>0</v>
      </c>
      <c r="K296" s="123">
        <f t="shared" si="35"/>
        <v>0</v>
      </c>
      <c r="L296" s="91"/>
      <c r="M296" s="92"/>
      <c r="N296" s="92"/>
      <c r="O296" s="93">
        <v>0</v>
      </c>
      <c r="P296" s="86"/>
      <c r="Q296" s="82">
        <f t="shared" si="33"/>
        <v>107</v>
      </c>
    </row>
    <row r="297" spans="1:17" ht="20.25" customHeight="1">
      <c r="A297" s="85"/>
      <c r="B297" s="102"/>
      <c r="C297" s="86"/>
      <c r="D297" s="87"/>
      <c r="E297" s="88" t="str">
        <f>IFERROR(VLOOKUP(D297,ProductMaster!$A:$B,2,FALSE),"")</f>
        <v/>
      </c>
      <c r="F297" s="88" t="str">
        <f>IFERROR(VLOOKUP(D297,ProductMaster!$A:$C,3,FALSE),"")</f>
        <v/>
      </c>
      <c r="G297" s="89" t="str">
        <f>IFERROR(VLOOKUP($D297,ProductMaster!$A:$O,4,FALSE),"")</f>
        <v/>
      </c>
      <c r="H297" s="90"/>
      <c r="I297" s="123">
        <f>IFERROR(VLOOKUP(E297,ProductMaster!B:G,6,FALSE),0)</f>
        <v>0</v>
      </c>
      <c r="J297" s="123">
        <f t="shared" si="34"/>
        <v>0</v>
      </c>
      <c r="K297" s="123">
        <f t="shared" si="35"/>
        <v>0</v>
      </c>
      <c r="L297" s="91"/>
      <c r="M297" s="92"/>
      <c r="N297" s="92"/>
      <c r="O297" s="93">
        <v>0</v>
      </c>
      <c r="P297" s="86"/>
      <c r="Q297" s="82">
        <f t="shared" si="33"/>
        <v>108</v>
      </c>
    </row>
    <row r="298" spans="1:17" ht="20.25" customHeight="1">
      <c r="A298" s="85"/>
      <c r="B298" s="102"/>
      <c r="C298" s="86"/>
      <c r="D298" s="87"/>
      <c r="E298" s="88" t="str">
        <f>IFERROR(VLOOKUP(D298,ProductMaster!$A:$B,2,FALSE),"")</f>
        <v/>
      </c>
      <c r="F298" s="88" t="str">
        <f>IFERROR(VLOOKUP(D298,ProductMaster!$A:$C,3,FALSE),"")</f>
        <v/>
      </c>
      <c r="G298" s="89" t="str">
        <f>IFERROR(VLOOKUP($D298,ProductMaster!$A:$O,4,FALSE),"")</f>
        <v/>
      </c>
      <c r="H298" s="90"/>
      <c r="I298" s="123">
        <f>IFERROR(VLOOKUP(E298,ProductMaster!B:G,6,FALSE),0)</f>
        <v>0</v>
      </c>
      <c r="J298" s="123">
        <f t="shared" si="34"/>
        <v>0</v>
      </c>
      <c r="K298" s="123">
        <f t="shared" si="35"/>
        <v>0</v>
      </c>
      <c r="L298" s="91"/>
      <c r="M298" s="92"/>
      <c r="N298" s="92"/>
      <c r="O298" s="93">
        <v>0</v>
      </c>
      <c r="P298" s="86"/>
      <c r="Q298" s="82">
        <f t="shared" si="33"/>
        <v>109</v>
      </c>
    </row>
    <row r="299" spans="1:17" ht="20.25" customHeight="1">
      <c r="A299" s="85"/>
      <c r="B299" s="102"/>
      <c r="C299" s="86"/>
      <c r="D299" s="87"/>
      <c r="E299" s="88" t="str">
        <f>IFERROR(VLOOKUP(D299,ProductMaster!$A:$B,2,FALSE),"")</f>
        <v/>
      </c>
      <c r="F299" s="88" t="str">
        <f>IFERROR(VLOOKUP(D299,ProductMaster!$A:$C,3,FALSE),"")</f>
        <v/>
      </c>
      <c r="G299" s="89" t="str">
        <f>IFERROR(VLOOKUP($D299,ProductMaster!$A:$O,4,FALSE),"")</f>
        <v/>
      </c>
      <c r="H299" s="90"/>
      <c r="I299" s="123">
        <f>IFERROR(VLOOKUP(E299,ProductMaster!B:G,6,FALSE),0)</f>
        <v>0</v>
      </c>
      <c r="J299" s="123">
        <f t="shared" si="34"/>
        <v>0</v>
      </c>
      <c r="K299" s="123">
        <f t="shared" si="35"/>
        <v>0</v>
      </c>
      <c r="L299" s="91"/>
      <c r="M299" s="92"/>
      <c r="N299" s="92"/>
      <c r="O299" s="93">
        <v>0</v>
      </c>
      <c r="P299" s="86"/>
      <c r="Q299" s="82">
        <f t="shared" si="33"/>
        <v>110</v>
      </c>
    </row>
    <row r="300" spans="1:17" ht="20.25" customHeight="1">
      <c r="A300" s="85"/>
      <c r="B300" s="102"/>
      <c r="C300" s="86"/>
      <c r="D300" s="87"/>
      <c r="E300" s="88" t="str">
        <f>IFERROR(VLOOKUP(D300,ProductMaster!$A:$B,2,FALSE),"")</f>
        <v/>
      </c>
      <c r="F300" s="88" t="str">
        <f>IFERROR(VLOOKUP(D300,ProductMaster!$A:$C,3,FALSE),"")</f>
        <v/>
      </c>
      <c r="G300" s="89" t="str">
        <f>IFERROR(VLOOKUP($D300,ProductMaster!$A:$O,4,FALSE),"")</f>
        <v/>
      </c>
      <c r="H300" s="90"/>
      <c r="I300" s="123">
        <f>IFERROR(VLOOKUP(E300,ProductMaster!B:G,6,FALSE),0)</f>
        <v>0</v>
      </c>
      <c r="J300" s="123">
        <f t="shared" si="34"/>
        <v>0</v>
      </c>
      <c r="K300" s="123">
        <f t="shared" si="35"/>
        <v>0</v>
      </c>
      <c r="L300" s="91"/>
      <c r="M300" s="92"/>
      <c r="N300" s="92"/>
      <c r="O300" s="93">
        <v>0</v>
      </c>
      <c r="P300" s="86"/>
      <c r="Q300" s="82">
        <f t="shared" si="33"/>
        <v>111</v>
      </c>
    </row>
    <row r="301" spans="1:17" ht="20.25" customHeight="1">
      <c r="A301" s="85"/>
      <c r="B301" s="102"/>
      <c r="C301" s="86"/>
      <c r="D301" s="87"/>
      <c r="E301" s="88" t="str">
        <f>IFERROR(VLOOKUP(D301,ProductMaster!$A:$B,2,FALSE),"")</f>
        <v/>
      </c>
      <c r="F301" s="88" t="str">
        <f>IFERROR(VLOOKUP(D301,ProductMaster!$A:$C,3,FALSE),"")</f>
        <v/>
      </c>
      <c r="G301" s="89" t="str">
        <f>IFERROR(VLOOKUP($D301,ProductMaster!$A:$O,4,FALSE),"")</f>
        <v/>
      </c>
      <c r="H301" s="90"/>
      <c r="I301" s="123">
        <f>IFERROR(VLOOKUP(E301,ProductMaster!B:G,6,FALSE),0)</f>
        <v>0</v>
      </c>
      <c r="J301" s="123">
        <f t="shared" si="34"/>
        <v>0</v>
      </c>
      <c r="K301" s="123">
        <f t="shared" si="35"/>
        <v>0</v>
      </c>
      <c r="L301" s="91"/>
      <c r="M301" s="92"/>
      <c r="N301" s="92"/>
      <c r="O301" s="93">
        <v>0</v>
      </c>
      <c r="P301" s="86"/>
      <c r="Q301" s="82">
        <f t="shared" si="33"/>
        <v>112</v>
      </c>
    </row>
    <row r="302" spans="1:17" ht="20.25" customHeight="1">
      <c r="A302" s="85"/>
      <c r="B302" s="102"/>
      <c r="C302" s="86"/>
      <c r="D302" s="87"/>
      <c r="E302" s="88" t="str">
        <f>IFERROR(VLOOKUP(D302,ProductMaster!$A:$B,2,FALSE),"")</f>
        <v/>
      </c>
      <c r="F302" s="88" t="str">
        <f>IFERROR(VLOOKUP(D302,ProductMaster!$A:$C,3,FALSE),"")</f>
        <v/>
      </c>
      <c r="G302" s="89" t="str">
        <f>IFERROR(VLOOKUP($D302,ProductMaster!$A:$O,4,FALSE),"")</f>
        <v/>
      </c>
      <c r="H302" s="90"/>
      <c r="I302" s="123">
        <f>IFERROR(VLOOKUP(E302,ProductMaster!B:G,6,FALSE),0)</f>
        <v>0</v>
      </c>
      <c r="J302" s="123">
        <f t="shared" si="34"/>
        <v>0</v>
      </c>
      <c r="K302" s="123">
        <f t="shared" si="35"/>
        <v>0</v>
      </c>
      <c r="L302" s="91"/>
      <c r="M302" s="92"/>
      <c r="N302" s="92"/>
      <c r="O302" s="93">
        <v>0</v>
      </c>
      <c r="P302" s="86"/>
      <c r="Q302" s="82">
        <f t="shared" si="33"/>
        <v>113</v>
      </c>
    </row>
    <row r="303" spans="1:17" ht="20.25" customHeight="1">
      <c r="A303" s="85"/>
      <c r="B303" s="102"/>
      <c r="C303" s="86"/>
      <c r="D303" s="87"/>
      <c r="E303" s="88" t="str">
        <f>IFERROR(VLOOKUP(D303,ProductMaster!$A:$B,2,FALSE),"")</f>
        <v/>
      </c>
      <c r="F303" s="88" t="str">
        <f>IFERROR(VLOOKUP(D303,ProductMaster!$A:$C,3,FALSE),"")</f>
        <v/>
      </c>
      <c r="G303" s="89" t="str">
        <f>IFERROR(VLOOKUP($D303,ProductMaster!$A:$O,4,FALSE),"")</f>
        <v/>
      </c>
      <c r="H303" s="90"/>
      <c r="I303" s="123">
        <f>IFERROR(VLOOKUP(E303,ProductMaster!B:G,6,FALSE),0)</f>
        <v>0</v>
      </c>
      <c r="J303" s="123">
        <f t="shared" si="34"/>
        <v>0</v>
      </c>
      <c r="K303" s="123">
        <f t="shared" si="35"/>
        <v>0</v>
      </c>
      <c r="L303" s="91"/>
      <c r="M303" s="92"/>
      <c r="N303" s="92"/>
      <c r="O303" s="93">
        <v>0</v>
      </c>
      <c r="P303" s="86"/>
      <c r="Q303" s="82">
        <f t="shared" si="33"/>
        <v>114</v>
      </c>
    </row>
    <row r="304" spans="1:17" ht="20.25" customHeight="1">
      <c r="A304" s="85"/>
      <c r="B304" s="102"/>
      <c r="C304" s="86"/>
      <c r="D304" s="87"/>
      <c r="E304" s="88" t="str">
        <f>IFERROR(VLOOKUP(D304,ProductMaster!$A:$B,2,FALSE),"")</f>
        <v/>
      </c>
      <c r="F304" s="88" t="str">
        <f>IFERROR(VLOOKUP(D304,ProductMaster!$A:$C,3,FALSE),"")</f>
        <v/>
      </c>
      <c r="G304" s="89" t="str">
        <f>IFERROR(VLOOKUP($D304,ProductMaster!$A:$O,4,FALSE),"")</f>
        <v/>
      </c>
      <c r="H304" s="90"/>
      <c r="I304" s="123">
        <f>IFERROR(VLOOKUP(E304,ProductMaster!B:G,6,FALSE),0)</f>
        <v>0</v>
      </c>
      <c r="J304" s="123">
        <f t="shared" si="34"/>
        <v>0</v>
      </c>
      <c r="K304" s="123">
        <f t="shared" si="35"/>
        <v>0</v>
      </c>
      <c r="L304" s="91"/>
      <c r="M304" s="92"/>
      <c r="N304" s="92"/>
      <c r="O304" s="93">
        <v>0</v>
      </c>
      <c r="P304" s="86"/>
      <c r="Q304" s="82">
        <f t="shared" si="33"/>
        <v>115</v>
      </c>
    </row>
    <row r="305" spans="1:17" ht="20.25" customHeight="1">
      <c r="A305" s="85"/>
      <c r="B305" s="102"/>
      <c r="C305" s="86"/>
      <c r="D305" s="87"/>
      <c r="E305" s="88" t="str">
        <f>IFERROR(VLOOKUP(D305,ProductMaster!$A:$B,2,FALSE),"")</f>
        <v/>
      </c>
      <c r="F305" s="88" t="str">
        <f>IFERROR(VLOOKUP(D305,ProductMaster!$A:$C,3,FALSE),"")</f>
        <v/>
      </c>
      <c r="G305" s="89" t="str">
        <f>IFERROR(VLOOKUP($D305,ProductMaster!$A:$O,4,FALSE),"")</f>
        <v/>
      </c>
      <c r="H305" s="90"/>
      <c r="I305" s="123">
        <f>IFERROR(VLOOKUP(E305,ProductMaster!B:G,6,FALSE),0)</f>
        <v>0</v>
      </c>
      <c r="J305" s="123">
        <f t="shared" si="34"/>
        <v>0</v>
      </c>
      <c r="K305" s="123">
        <f t="shared" si="35"/>
        <v>0</v>
      </c>
      <c r="L305" s="91"/>
      <c r="M305" s="92"/>
      <c r="N305" s="92"/>
      <c r="O305" s="93">
        <v>0</v>
      </c>
      <c r="P305" s="86"/>
      <c r="Q305" s="82">
        <f t="shared" si="33"/>
        <v>116</v>
      </c>
    </row>
    <row r="306" spans="1:17" ht="20.25" customHeight="1">
      <c r="A306" s="85"/>
      <c r="B306" s="102"/>
      <c r="C306" s="86"/>
      <c r="D306" s="87"/>
      <c r="E306" s="88" t="str">
        <f>IFERROR(VLOOKUP(D306,ProductMaster!$A:$B,2,FALSE),"")</f>
        <v/>
      </c>
      <c r="F306" s="88" t="str">
        <f>IFERROR(VLOOKUP(D306,ProductMaster!$A:$C,3,FALSE),"")</f>
        <v/>
      </c>
      <c r="G306" s="89" t="str">
        <f>IFERROR(VLOOKUP($D306,ProductMaster!$A:$O,4,FALSE),"")</f>
        <v/>
      </c>
      <c r="H306" s="90"/>
      <c r="I306" s="123">
        <f>IFERROR(VLOOKUP(E306,ProductMaster!B:G,6,FALSE),0)</f>
        <v>0</v>
      </c>
      <c r="J306" s="123">
        <f t="shared" si="34"/>
        <v>0</v>
      </c>
      <c r="K306" s="123">
        <f t="shared" si="35"/>
        <v>0</v>
      </c>
      <c r="L306" s="91"/>
      <c r="M306" s="92"/>
      <c r="N306" s="92"/>
      <c r="O306" s="93">
        <v>0</v>
      </c>
      <c r="P306" s="86"/>
      <c r="Q306" s="82">
        <f t="shared" si="33"/>
        <v>117</v>
      </c>
    </row>
    <row r="307" spans="1:17" ht="20.25" customHeight="1">
      <c r="A307" s="85"/>
      <c r="B307" s="102"/>
      <c r="C307" s="86"/>
      <c r="D307" s="87"/>
      <c r="E307" s="88" t="str">
        <f>IFERROR(VLOOKUP(D307,ProductMaster!$A:$B,2,FALSE),"")</f>
        <v/>
      </c>
      <c r="F307" s="88" t="str">
        <f>IFERROR(VLOOKUP(D307,ProductMaster!$A:$C,3,FALSE),"")</f>
        <v/>
      </c>
      <c r="G307" s="89" t="str">
        <f>IFERROR(VLOOKUP($D307,ProductMaster!$A:$O,4,FALSE),"")</f>
        <v/>
      </c>
      <c r="H307" s="90"/>
      <c r="I307" s="123">
        <f>IFERROR(VLOOKUP(E307,ProductMaster!B:G,6,FALSE),0)</f>
        <v>0</v>
      </c>
      <c r="J307" s="123">
        <f t="shared" si="34"/>
        <v>0</v>
      </c>
      <c r="K307" s="123">
        <f t="shared" si="35"/>
        <v>0</v>
      </c>
      <c r="L307" s="91"/>
      <c r="M307" s="92"/>
      <c r="N307" s="92"/>
      <c r="O307" s="93">
        <v>0</v>
      </c>
      <c r="P307" s="86"/>
      <c r="Q307" s="82">
        <f t="shared" si="33"/>
        <v>118</v>
      </c>
    </row>
    <row r="308" spans="1:17" ht="20.25" customHeight="1">
      <c r="A308" s="85"/>
      <c r="B308" s="102"/>
      <c r="C308" s="86"/>
      <c r="D308" s="87"/>
      <c r="E308" s="88" t="str">
        <f>IFERROR(VLOOKUP(D308,ProductMaster!$A:$B,2,FALSE),"")</f>
        <v/>
      </c>
      <c r="F308" s="88" t="str">
        <f>IFERROR(VLOOKUP(D308,ProductMaster!$A:$C,3,FALSE),"")</f>
        <v/>
      </c>
      <c r="G308" s="89" t="str">
        <f>IFERROR(VLOOKUP($D308,ProductMaster!$A:$O,4,FALSE),"")</f>
        <v/>
      </c>
      <c r="H308" s="90"/>
      <c r="I308" s="123">
        <f>IFERROR(VLOOKUP(E308,ProductMaster!B:G,6,FALSE),0)</f>
        <v>0</v>
      </c>
      <c r="J308" s="123">
        <f t="shared" si="34"/>
        <v>0</v>
      </c>
      <c r="K308" s="123">
        <f t="shared" si="35"/>
        <v>0</v>
      </c>
      <c r="L308" s="91"/>
      <c r="M308" s="92"/>
      <c r="N308" s="92"/>
      <c r="O308" s="93">
        <v>0</v>
      </c>
      <c r="P308" s="86"/>
      <c r="Q308" s="82">
        <f t="shared" si="33"/>
        <v>119</v>
      </c>
    </row>
    <row r="309" spans="1:17" ht="20.25" customHeight="1">
      <c r="A309" s="85"/>
      <c r="B309" s="102"/>
      <c r="C309" s="86"/>
      <c r="D309" s="87"/>
      <c r="E309" s="88" t="str">
        <f>IFERROR(VLOOKUP(D309,ProductMaster!$A:$B,2,FALSE),"")</f>
        <v/>
      </c>
      <c r="F309" s="88" t="str">
        <f>IFERROR(VLOOKUP(D309,ProductMaster!$A:$C,3,FALSE),"")</f>
        <v/>
      </c>
      <c r="G309" s="89" t="str">
        <f>IFERROR(VLOOKUP($D309,ProductMaster!$A:$O,4,FALSE),"")</f>
        <v/>
      </c>
      <c r="H309" s="90"/>
      <c r="I309" s="123">
        <f>IFERROR(VLOOKUP(E309,ProductMaster!B:G,6,FALSE),0)</f>
        <v>0</v>
      </c>
      <c r="J309" s="123">
        <f t="shared" si="34"/>
        <v>0</v>
      </c>
      <c r="K309" s="123">
        <f t="shared" si="35"/>
        <v>0</v>
      </c>
      <c r="L309" s="91"/>
      <c r="M309" s="92"/>
      <c r="N309" s="92"/>
      <c r="O309" s="93">
        <v>0</v>
      </c>
      <c r="P309" s="86"/>
      <c r="Q309" s="82">
        <f t="shared" si="33"/>
        <v>120</v>
      </c>
    </row>
    <row r="310" spans="1:17" ht="20.25" customHeight="1">
      <c r="A310" s="85"/>
      <c r="B310" s="102"/>
      <c r="C310" s="86"/>
      <c r="D310" s="87"/>
      <c r="E310" s="88" t="str">
        <f>IFERROR(VLOOKUP(D310,ProductMaster!$A:$B,2,FALSE),"")</f>
        <v/>
      </c>
      <c r="F310" s="88" t="str">
        <f>IFERROR(VLOOKUP(D310,ProductMaster!$A:$C,3,FALSE),"")</f>
        <v/>
      </c>
      <c r="G310" s="89" t="str">
        <f>IFERROR(VLOOKUP($D310,ProductMaster!$A:$O,4,FALSE),"")</f>
        <v/>
      </c>
      <c r="H310" s="90"/>
      <c r="I310" s="123">
        <f>IFERROR(VLOOKUP(E310,ProductMaster!B:G,6,FALSE),0)</f>
        <v>0</v>
      </c>
      <c r="J310" s="123">
        <f t="shared" si="34"/>
        <v>0</v>
      </c>
      <c r="K310" s="123">
        <f t="shared" si="35"/>
        <v>0</v>
      </c>
      <c r="L310" s="91"/>
      <c r="M310" s="92"/>
      <c r="N310" s="92"/>
      <c r="O310" s="93">
        <v>0</v>
      </c>
      <c r="P310" s="86"/>
      <c r="Q310" s="82">
        <f t="shared" si="33"/>
        <v>121</v>
      </c>
    </row>
    <row r="311" spans="1:17" ht="20.25" customHeight="1">
      <c r="A311" s="85"/>
      <c r="B311" s="102"/>
      <c r="C311" s="86"/>
      <c r="D311" s="87"/>
      <c r="E311" s="88" t="str">
        <f>IFERROR(VLOOKUP(D311,ProductMaster!$A:$B,2,FALSE),"")</f>
        <v/>
      </c>
      <c r="F311" s="88" t="str">
        <f>IFERROR(VLOOKUP(D311,ProductMaster!$A:$C,3,FALSE),"")</f>
        <v/>
      </c>
      <c r="G311" s="89" t="str">
        <f>IFERROR(VLOOKUP($D311,ProductMaster!$A:$O,4,FALSE),"")</f>
        <v/>
      </c>
      <c r="H311" s="90"/>
      <c r="I311" s="123">
        <f>IFERROR(VLOOKUP(E311,ProductMaster!B:G,6,FALSE),0)</f>
        <v>0</v>
      </c>
      <c r="J311" s="123">
        <f t="shared" si="34"/>
        <v>0</v>
      </c>
      <c r="K311" s="123">
        <f t="shared" si="35"/>
        <v>0</v>
      </c>
      <c r="L311" s="91"/>
      <c r="M311" s="92"/>
      <c r="N311" s="92"/>
      <c r="O311" s="93">
        <v>0</v>
      </c>
      <c r="P311" s="86"/>
      <c r="Q311" s="82">
        <f t="shared" si="33"/>
        <v>122</v>
      </c>
    </row>
    <row r="312" spans="1:17" ht="20.25" customHeight="1">
      <c r="A312" s="85"/>
      <c r="B312" s="102"/>
      <c r="C312" s="86"/>
      <c r="D312" s="87"/>
      <c r="E312" s="88" t="str">
        <f>IFERROR(VLOOKUP(D312,ProductMaster!$A:$B,2,FALSE),"")</f>
        <v/>
      </c>
      <c r="F312" s="88" t="str">
        <f>IFERROR(VLOOKUP(D312,ProductMaster!$A:$C,3,FALSE),"")</f>
        <v/>
      </c>
      <c r="G312" s="89" t="str">
        <f>IFERROR(VLOOKUP($D312,ProductMaster!$A:$O,4,FALSE),"")</f>
        <v/>
      </c>
      <c r="H312" s="90"/>
      <c r="I312" s="123">
        <f>IFERROR(VLOOKUP(E312,ProductMaster!B:G,6,FALSE),0)</f>
        <v>0</v>
      </c>
      <c r="J312" s="123">
        <f t="shared" si="34"/>
        <v>0</v>
      </c>
      <c r="K312" s="123">
        <f t="shared" si="35"/>
        <v>0</v>
      </c>
      <c r="L312" s="91"/>
      <c r="M312" s="92"/>
      <c r="N312" s="92"/>
      <c r="O312" s="93">
        <v>0</v>
      </c>
      <c r="P312" s="86"/>
      <c r="Q312" s="82">
        <f t="shared" si="33"/>
        <v>123</v>
      </c>
    </row>
    <row r="313" spans="1:17" ht="20.25" customHeight="1">
      <c r="A313" s="85"/>
      <c r="B313" s="102"/>
      <c r="C313" s="86"/>
      <c r="D313" s="87"/>
      <c r="E313" s="88" t="str">
        <f>IFERROR(VLOOKUP(D313,ProductMaster!$A:$B,2,FALSE),"")</f>
        <v/>
      </c>
      <c r="F313" s="88" t="str">
        <f>IFERROR(VLOOKUP(D313,ProductMaster!$A:$C,3,FALSE),"")</f>
        <v/>
      </c>
      <c r="G313" s="89" t="str">
        <f>IFERROR(VLOOKUP($D313,ProductMaster!$A:$O,4,FALSE),"")</f>
        <v/>
      </c>
      <c r="H313" s="90"/>
      <c r="I313" s="123">
        <f>IFERROR(VLOOKUP(E313,ProductMaster!B:G,6,FALSE),0)</f>
        <v>0</v>
      </c>
      <c r="J313" s="123">
        <f t="shared" si="34"/>
        <v>0</v>
      </c>
      <c r="K313" s="123">
        <f t="shared" si="35"/>
        <v>0</v>
      </c>
      <c r="L313" s="91"/>
      <c r="M313" s="92"/>
      <c r="N313" s="92"/>
      <c r="O313" s="93">
        <v>0</v>
      </c>
      <c r="P313" s="86"/>
      <c r="Q313" s="82">
        <f t="shared" si="33"/>
        <v>124</v>
      </c>
    </row>
    <row r="314" spans="1:17" ht="20.25" customHeight="1">
      <c r="A314" s="85"/>
      <c r="B314" s="102"/>
      <c r="C314" s="86"/>
      <c r="D314" s="87"/>
      <c r="E314" s="88" t="str">
        <f>IFERROR(VLOOKUP(D314,ProductMaster!$A:$B,2,FALSE),"")</f>
        <v/>
      </c>
      <c r="F314" s="88" t="str">
        <f>IFERROR(VLOOKUP(D314,ProductMaster!$A:$C,3,FALSE),"")</f>
        <v/>
      </c>
      <c r="G314" s="89" t="str">
        <f>IFERROR(VLOOKUP($D314,ProductMaster!$A:$O,4,FALSE),"")</f>
        <v/>
      </c>
      <c r="H314" s="90"/>
      <c r="I314" s="123">
        <f>IFERROR(VLOOKUP(E314,ProductMaster!B:G,6,FALSE),0)</f>
        <v>0</v>
      </c>
      <c r="J314" s="123">
        <f t="shared" si="34"/>
        <v>0</v>
      </c>
      <c r="K314" s="123">
        <f t="shared" si="35"/>
        <v>0</v>
      </c>
      <c r="L314" s="91"/>
      <c r="M314" s="92"/>
      <c r="N314" s="92"/>
      <c r="O314" s="93">
        <v>0</v>
      </c>
      <c r="P314" s="86"/>
      <c r="Q314" s="82">
        <f t="shared" si="33"/>
        <v>125</v>
      </c>
    </row>
    <row r="315" spans="1:17" ht="20.25" customHeight="1">
      <c r="A315" s="85"/>
      <c r="B315" s="102"/>
      <c r="C315" s="86"/>
      <c r="D315" s="87"/>
      <c r="E315" s="88" t="str">
        <f>IFERROR(VLOOKUP(D315,ProductMaster!$A:$B,2,FALSE),"")</f>
        <v/>
      </c>
      <c r="F315" s="88" t="str">
        <f>IFERROR(VLOOKUP(D315,ProductMaster!$A:$C,3,FALSE),"")</f>
        <v/>
      </c>
      <c r="G315" s="89" t="str">
        <f>IFERROR(VLOOKUP($D315,ProductMaster!$A:$O,4,FALSE),"")</f>
        <v/>
      </c>
      <c r="H315" s="90"/>
      <c r="I315" s="123">
        <f>IFERROR(VLOOKUP(E315,ProductMaster!B:G,6,FALSE),0)</f>
        <v>0</v>
      </c>
      <c r="J315" s="123">
        <f t="shared" si="34"/>
        <v>0</v>
      </c>
      <c r="K315" s="123">
        <f t="shared" si="35"/>
        <v>0</v>
      </c>
      <c r="L315" s="91"/>
      <c r="M315" s="92"/>
      <c r="N315" s="92"/>
      <c r="O315" s="93">
        <v>0</v>
      </c>
      <c r="P315" s="86"/>
      <c r="Q315" s="82">
        <f t="shared" si="33"/>
        <v>126</v>
      </c>
    </row>
    <row r="316" spans="1:17" ht="20.25" customHeight="1">
      <c r="A316" s="85"/>
      <c r="B316" s="102"/>
      <c r="C316" s="86"/>
      <c r="D316" s="87"/>
      <c r="E316" s="88" t="str">
        <f>IFERROR(VLOOKUP(D316,ProductMaster!$A:$B,2,FALSE),"")</f>
        <v/>
      </c>
      <c r="F316" s="88" t="str">
        <f>IFERROR(VLOOKUP(D316,ProductMaster!$A:$C,3,FALSE),"")</f>
        <v/>
      </c>
      <c r="G316" s="89" t="str">
        <f>IFERROR(VLOOKUP($D316,ProductMaster!$A:$O,4,FALSE),"")</f>
        <v/>
      </c>
      <c r="H316" s="90"/>
      <c r="I316" s="123">
        <f>IFERROR(VLOOKUP(E316,ProductMaster!B:G,6,FALSE),0)</f>
        <v>0</v>
      </c>
      <c r="J316" s="123">
        <f t="shared" si="34"/>
        <v>0</v>
      </c>
      <c r="K316" s="123">
        <f t="shared" si="35"/>
        <v>0</v>
      </c>
      <c r="L316" s="91"/>
      <c r="M316" s="92"/>
      <c r="N316" s="92"/>
      <c r="O316" s="93">
        <v>0</v>
      </c>
      <c r="P316" s="86"/>
      <c r="Q316" s="82">
        <f t="shared" si="33"/>
        <v>127</v>
      </c>
    </row>
    <row r="317" spans="1:17" ht="20.25" customHeight="1">
      <c r="A317" s="85"/>
      <c r="B317" s="102"/>
      <c r="C317" s="86"/>
      <c r="D317" s="87"/>
      <c r="E317" s="88" t="str">
        <f>IFERROR(VLOOKUP(D317,ProductMaster!$A:$B,2,FALSE),"")</f>
        <v/>
      </c>
      <c r="F317" s="88" t="str">
        <f>IFERROR(VLOOKUP(D317,ProductMaster!$A:$C,3,FALSE),"")</f>
        <v/>
      </c>
      <c r="G317" s="89" t="str">
        <f>IFERROR(VLOOKUP($D317,ProductMaster!$A:$O,4,FALSE),"")</f>
        <v/>
      </c>
      <c r="H317" s="90"/>
      <c r="I317" s="123">
        <f>IFERROR(VLOOKUP(E317,ProductMaster!B:G,6,FALSE),0)</f>
        <v>0</v>
      </c>
      <c r="J317" s="123">
        <f t="shared" si="34"/>
        <v>0</v>
      </c>
      <c r="K317" s="123">
        <f t="shared" si="35"/>
        <v>0</v>
      </c>
      <c r="L317" s="91"/>
      <c r="M317" s="92"/>
      <c r="N317" s="92"/>
      <c r="O317" s="93">
        <v>0</v>
      </c>
      <c r="P317" s="86"/>
      <c r="Q317" s="82">
        <f t="shared" si="33"/>
        <v>128</v>
      </c>
    </row>
    <row r="318" spans="1:17" ht="20.25" customHeight="1">
      <c r="A318" s="85"/>
      <c r="B318" s="102"/>
      <c r="C318" s="86"/>
      <c r="D318" s="87"/>
      <c r="E318" s="88" t="str">
        <f>IFERROR(VLOOKUP(D318,ProductMaster!$A:$B,2,FALSE),"")</f>
        <v/>
      </c>
      <c r="F318" s="88" t="str">
        <f>IFERROR(VLOOKUP(D318,ProductMaster!$A:$C,3,FALSE),"")</f>
        <v/>
      </c>
      <c r="G318" s="89" t="str">
        <f>IFERROR(VLOOKUP($D318,ProductMaster!$A:$O,4,FALSE),"")</f>
        <v/>
      </c>
      <c r="H318" s="90"/>
      <c r="I318" s="123">
        <f>IFERROR(VLOOKUP(E318,ProductMaster!B:G,6,FALSE),0)</f>
        <v>0</v>
      </c>
      <c r="J318" s="123">
        <f t="shared" si="34"/>
        <v>0</v>
      </c>
      <c r="K318" s="123">
        <f t="shared" si="35"/>
        <v>0</v>
      </c>
      <c r="L318" s="91"/>
      <c r="M318" s="92"/>
      <c r="N318" s="92"/>
      <c r="O318" s="93">
        <v>0</v>
      </c>
      <c r="P318" s="86"/>
      <c r="Q318" s="82">
        <f t="shared" si="33"/>
        <v>129</v>
      </c>
    </row>
    <row r="319" spans="1:17" ht="20.25" customHeight="1">
      <c r="A319" s="85"/>
      <c r="B319" s="102"/>
      <c r="C319" s="86"/>
      <c r="D319" s="87"/>
      <c r="E319" s="88" t="str">
        <f>IFERROR(VLOOKUP(D319,ProductMaster!$A:$B,2,FALSE),"")</f>
        <v/>
      </c>
      <c r="F319" s="88" t="str">
        <f>IFERROR(VLOOKUP(D319,ProductMaster!$A:$C,3,FALSE),"")</f>
        <v/>
      </c>
      <c r="G319" s="89" t="str">
        <f>IFERROR(VLOOKUP($D319,ProductMaster!$A:$O,4,FALSE),"")</f>
        <v/>
      </c>
      <c r="H319" s="90"/>
      <c r="I319" s="123">
        <f>IFERROR(VLOOKUP(E319,ProductMaster!B:G,6,FALSE),0)</f>
        <v>0</v>
      </c>
      <c r="J319" s="123">
        <f t="shared" si="34"/>
        <v>0</v>
      </c>
      <c r="K319" s="123">
        <f t="shared" si="35"/>
        <v>0</v>
      </c>
      <c r="L319" s="91"/>
      <c r="M319" s="92"/>
      <c r="N319" s="92"/>
      <c r="O319" s="93">
        <v>0</v>
      </c>
      <c r="P319" s="86"/>
      <c r="Q319" s="82">
        <f t="shared" si="33"/>
        <v>130</v>
      </c>
    </row>
    <row r="320" spans="1:17" ht="20.25" customHeight="1">
      <c r="A320" s="85"/>
      <c r="B320" s="102"/>
      <c r="C320" s="86"/>
      <c r="D320" s="87"/>
      <c r="E320" s="88" t="str">
        <f>IFERROR(VLOOKUP(D320,ProductMaster!$A:$B,2,FALSE),"")</f>
        <v/>
      </c>
      <c r="F320" s="88" t="str">
        <f>IFERROR(VLOOKUP(D320,ProductMaster!$A:$C,3,FALSE),"")</f>
        <v/>
      </c>
      <c r="G320" s="89" t="str">
        <f>IFERROR(VLOOKUP($D320,ProductMaster!$A:$O,4,FALSE),"")</f>
        <v/>
      </c>
      <c r="H320" s="90"/>
      <c r="I320" s="123">
        <f>IFERROR(VLOOKUP(E320,ProductMaster!B:G,6,FALSE),0)</f>
        <v>0</v>
      </c>
      <c r="J320" s="123">
        <f t="shared" si="34"/>
        <v>0</v>
      </c>
      <c r="K320" s="123">
        <f t="shared" si="35"/>
        <v>0</v>
      </c>
      <c r="L320" s="91"/>
      <c r="M320" s="92"/>
      <c r="N320" s="92"/>
      <c r="O320" s="93">
        <v>0</v>
      </c>
      <c r="P320" s="86"/>
      <c r="Q320" s="82">
        <f t="shared" si="33"/>
        <v>131</v>
      </c>
    </row>
    <row r="321" spans="1:17" ht="20.25" customHeight="1">
      <c r="A321" s="85"/>
      <c r="B321" s="102"/>
      <c r="C321" s="86"/>
      <c r="D321" s="87"/>
      <c r="E321" s="88" t="str">
        <f>IFERROR(VLOOKUP(D321,ProductMaster!$A:$B,2,FALSE),"")</f>
        <v/>
      </c>
      <c r="F321" s="88" t="str">
        <f>IFERROR(VLOOKUP(D321,ProductMaster!$A:$C,3,FALSE),"")</f>
        <v/>
      </c>
      <c r="G321" s="89" t="str">
        <f>IFERROR(VLOOKUP($D321,ProductMaster!$A:$O,4,FALSE),"")</f>
        <v/>
      </c>
      <c r="H321" s="90"/>
      <c r="I321" s="123">
        <f>IFERROR(VLOOKUP(E321,ProductMaster!B:G,6,FALSE),0)</f>
        <v>0</v>
      </c>
      <c r="J321" s="123">
        <f t="shared" si="34"/>
        <v>0</v>
      </c>
      <c r="K321" s="123">
        <f t="shared" si="35"/>
        <v>0</v>
      </c>
      <c r="L321" s="91"/>
      <c r="M321" s="92"/>
      <c r="N321" s="92"/>
      <c r="O321" s="93">
        <v>0</v>
      </c>
      <c r="P321" s="86"/>
      <c r="Q321" s="82">
        <f t="shared" si="33"/>
        <v>132</v>
      </c>
    </row>
    <row r="322" spans="1:17" ht="20.25" customHeight="1">
      <c r="A322" s="85"/>
      <c r="B322" s="102"/>
      <c r="C322" s="86"/>
      <c r="D322" s="87"/>
      <c r="E322" s="88" t="str">
        <f>IFERROR(VLOOKUP(D322,ProductMaster!$A:$B,2,FALSE),"")</f>
        <v/>
      </c>
      <c r="F322" s="88" t="str">
        <f>IFERROR(VLOOKUP(D322,ProductMaster!$A:$C,3,FALSE),"")</f>
        <v/>
      </c>
      <c r="G322" s="89" t="str">
        <f>IFERROR(VLOOKUP($D322,ProductMaster!$A:$O,4,FALSE),"")</f>
        <v/>
      </c>
      <c r="H322" s="90"/>
      <c r="I322" s="123">
        <f>IFERROR(VLOOKUP(E322,ProductMaster!B:G,6,FALSE),0)</f>
        <v>0</v>
      </c>
      <c r="J322" s="123">
        <f t="shared" si="34"/>
        <v>0</v>
      </c>
      <c r="K322" s="123">
        <f t="shared" si="35"/>
        <v>0</v>
      </c>
      <c r="L322" s="91"/>
      <c r="M322" s="92"/>
      <c r="N322" s="92"/>
      <c r="O322" s="93">
        <v>0</v>
      </c>
      <c r="P322" s="86"/>
      <c r="Q322" s="82">
        <f t="shared" ref="Q322:Q385" si="36">IF(B322=B321,Q321+1,1)</f>
        <v>133</v>
      </c>
    </row>
    <row r="323" spans="1:17" ht="20.25" customHeight="1">
      <c r="A323" s="85"/>
      <c r="B323" s="102"/>
      <c r="C323" s="86"/>
      <c r="D323" s="87"/>
      <c r="E323" s="88" t="str">
        <f>IFERROR(VLOOKUP(D323,ProductMaster!$A:$B,2,FALSE),"")</f>
        <v/>
      </c>
      <c r="F323" s="88" t="str">
        <f>IFERROR(VLOOKUP(D323,ProductMaster!$A:$C,3,FALSE),"")</f>
        <v/>
      </c>
      <c r="G323" s="89" t="str">
        <f>IFERROR(VLOOKUP($D323,ProductMaster!$A:$O,4,FALSE),"")</f>
        <v/>
      </c>
      <c r="H323" s="90"/>
      <c r="I323" s="123">
        <f>IFERROR(VLOOKUP(E323,ProductMaster!B:G,6,FALSE),0)</f>
        <v>0</v>
      </c>
      <c r="J323" s="123">
        <f t="shared" ref="J323:J385" si="37">ROUND(SUM(I323*7%),2)</f>
        <v>0</v>
      </c>
      <c r="K323" s="123">
        <f t="shared" si="35"/>
        <v>0</v>
      </c>
      <c r="L323" s="91"/>
      <c r="M323" s="92"/>
      <c r="N323" s="92"/>
      <c r="O323" s="93">
        <v>0</v>
      </c>
      <c r="P323" s="86"/>
      <c r="Q323" s="82">
        <f t="shared" si="36"/>
        <v>134</v>
      </c>
    </row>
    <row r="324" spans="1:17" ht="20.25" customHeight="1">
      <c r="A324" s="85"/>
      <c r="B324" s="102"/>
      <c r="C324" s="86"/>
      <c r="D324" s="87"/>
      <c r="E324" s="88" t="str">
        <f>IFERROR(VLOOKUP(D324,ProductMaster!$A:$B,2,FALSE),"")</f>
        <v/>
      </c>
      <c r="F324" s="88" t="str">
        <f>IFERROR(VLOOKUP(D324,ProductMaster!$A:$C,3,FALSE),"")</f>
        <v/>
      </c>
      <c r="G324" s="89" t="str">
        <f>IFERROR(VLOOKUP($D324,ProductMaster!$A:$O,4,FALSE),"")</f>
        <v/>
      </c>
      <c r="H324" s="90"/>
      <c r="I324" s="123">
        <f>IFERROR(VLOOKUP(E324,ProductMaster!B:G,6,FALSE),0)</f>
        <v>0</v>
      </c>
      <c r="J324" s="123">
        <f t="shared" si="37"/>
        <v>0</v>
      </c>
      <c r="K324" s="123">
        <f t="shared" si="35"/>
        <v>0</v>
      </c>
      <c r="L324" s="91"/>
      <c r="M324" s="92"/>
      <c r="N324" s="92"/>
      <c r="O324" s="93">
        <v>0</v>
      </c>
      <c r="P324" s="86"/>
      <c r="Q324" s="82">
        <f t="shared" si="36"/>
        <v>135</v>
      </c>
    </row>
    <row r="325" spans="1:17" ht="20.25" customHeight="1">
      <c r="A325" s="85"/>
      <c r="B325" s="102"/>
      <c r="C325" s="86"/>
      <c r="D325" s="87"/>
      <c r="E325" s="88" t="str">
        <f>IFERROR(VLOOKUP(D325,ProductMaster!$A:$B,2,FALSE),"")</f>
        <v/>
      </c>
      <c r="F325" s="88" t="str">
        <f>IFERROR(VLOOKUP(D325,ProductMaster!$A:$C,3,FALSE),"")</f>
        <v/>
      </c>
      <c r="G325" s="89" t="str">
        <f>IFERROR(VLOOKUP($D325,ProductMaster!$A:$O,4,FALSE),"")</f>
        <v/>
      </c>
      <c r="H325" s="90"/>
      <c r="I325" s="123">
        <f>IFERROR(VLOOKUP(E325,ProductMaster!B:G,6,FALSE),0)</f>
        <v>0</v>
      </c>
      <c r="J325" s="123">
        <f t="shared" si="37"/>
        <v>0</v>
      </c>
      <c r="K325" s="123">
        <f t="shared" si="35"/>
        <v>0</v>
      </c>
      <c r="L325" s="91"/>
      <c r="M325" s="92"/>
      <c r="N325" s="92"/>
      <c r="O325" s="93">
        <v>0</v>
      </c>
      <c r="P325" s="86"/>
      <c r="Q325" s="82">
        <f t="shared" si="36"/>
        <v>136</v>
      </c>
    </row>
    <row r="326" spans="1:17" ht="20.25" customHeight="1">
      <c r="A326" s="85"/>
      <c r="B326" s="102"/>
      <c r="C326" s="86"/>
      <c r="D326" s="87"/>
      <c r="E326" s="88" t="str">
        <f>IFERROR(VLOOKUP(D326,ProductMaster!$A:$B,2,FALSE),"")</f>
        <v/>
      </c>
      <c r="F326" s="88" t="str">
        <f>IFERROR(VLOOKUP(D326,ProductMaster!$A:$C,3,FALSE),"")</f>
        <v/>
      </c>
      <c r="G326" s="89" t="str">
        <f>IFERROR(VLOOKUP($D326,ProductMaster!$A:$O,4,FALSE),"")</f>
        <v/>
      </c>
      <c r="H326" s="90"/>
      <c r="I326" s="123">
        <f>IFERROR(VLOOKUP(E326,ProductMaster!B:G,6,FALSE),0)</f>
        <v>0</v>
      </c>
      <c r="J326" s="123">
        <f t="shared" si="37"/>
        <v>0</v>
      </c>
      <c r="K326" s="123">
        <f t="shared" si="35"/>
        <v>0</v>
      </c>
      <c r="L326" s="91"/>
      <c r="M326" s="92"/>
      <c r="N326" s="92"/>
      <c r="O326" s="93">
        <v>0</v>
      </c>
      <c r="P326" s="86"/>
      <c r="Q326" s="82">
        <f t="shared" si="36"/>
        <v>137</v>
      </c>
    </row>
    <row r="327" spans="1:17" ht="20.25" customHeight="1">
      <c r="A327" s="85"/>
      <c r="B327" s="102"/>
      <c r="C327" s="86"/>
      <c r="D327" s="87"/>
      <c r="E327" s="88" t="str">
        <f>IFERROR(VLOOKUP(D327,ProductMaster!$A:$B,2,FALSE),"")</f>
        <v/>
      </c>
      <c r="F327" s="88" t="str">
        <f>IFERROR(VLOOKUP(D327,ProductMaster!$A:$C,3,FALSE),"")</f>
        <v/>
      </c>
      <c r="G327" s="89" t="str">
        <f>IFERROR(VLOOKUP($D327,ProductMaster!$A:$O,4,FALSE),"")</f>
        <v/>
      </c>
      <c r="H327" s="90"/>
      <c r="I327" s="123">
        <f>IFERROR(VLOOKUP(E327,ProductMaster!B:G,6,FALSE),0)</f>
        <v>0</v>
      </c>
      <c r="J327" s="123">
        <f t="shared" si="37"/>
        <v>0</v>
      </c>
      <c r="K327" s="123">
        <f t="shared" si="35"/>
        <v>0</v>
      </c>
      <c r="L327" s="91"/>
      <c r="M327" s="92"/>
      <c r="N327" s="92"/>
      <c r="O327" s="93">
        <v>0</v>
      </c>
      <c r="P327" s="86"/>
      <c r="Q327" s="82">
        <f t="shared" si="36"/>
        <v>138</v>
      </c>
    </row>
    <row r="328" spans="1:17" ht="20.25" customHeight="1">
      <c r="A328" s="85"/>
      <c r="B328" s="102"/>
      <c r="C328" s="86"/>
      <c r="D328" s="87"/>
      <c r="E328" s="88" t="str">
        <f>IFERROR(VLOOKUP(D328,ProductMaster!$A:$B,2,FALSE),"")</f>
        <v/>
      </c>
      <c r="F328" s="88" t="str">
        <f>IFERROR(VLOOKUP(D328,ProductMaster!$A:$C,3,FALSE),"")</f>
        <v/>
      </c>
      <c r="G328" s="89" t="str">
        <f>IFERROR(VLOOKUP($D328,ProductMaster!$A:$O,4,FALSE),"")</f>
        <v/>
      </c>
      <c r="H328" s="90"/>
      <c r="I328" s="123">
        <f>IFERROR(VLOOKUP(E328,ProductMaster!B:G,6,FALSE),0)</f>
        <v>0</v>
      </c>
      <c r="J328" s="123">
        <f t="shared" si="37"/>
        <v>0</v>
      </c>
      <c r="K328" s="123">
        <f t="shared" si="35"/>
        <v>0</v>
      </c>
      <c r="L328" s="91"/>
      <c r="M328" s="92"/>
      <c r="N328" s="92"/>
      <c r="O328" s="93">
        <v>0</v>
      </c>
      <c r="P328" s="86"/>
      <c r="Q328" s="82">
        <f t="shared" si="36"/>
        <v>139</v>
      </c>
    </row>
    <row r="329" spans="1:17" ht="20.25" customHeight="1">
      <c r="A329" s="85"/>
      <c r="B329" s="102"/>
      <c r="C329" s="86"/>
      <c r="D329" s="87"/>
      <c r="E329" s="88" t="str">
        <f>IFERROR(VLOOKUP(D329,ProductMaster!$A:$B,2,FALSE),"")</f>
        <v/>
      </c>
      <c r="F329" s="88" t="str">
        <f>IFERROR(VLOOKUP(D329,ProductMaster!$A:$C,3,FALSE),"")</f>
        <v/>
      </c>
      <c r="G329" s="89" t="str">
        <f>IFERROR(VLOOKUP($D329,ProductMaster!$A:$O,4,FALSE),"")</f>
        <v/>
      </c>
      <c r="H329" s="90"/>
      <c r="I329" s="123">
        <f>IFERROR(VLOOKUP(E329,ProductMaster!B:G,6,FALSE),0)</f>
        <v>0</v>
      </c>
      <c r="J329" s="123">
        <f t="shared" si="37"/>
        <v>0</v>
      </c>
      <c r="K329" s="123">
        <f t="shared" si="35"/>
        <v>0</v>
      </c>
      <c r="L329" s="91"/>
      <c r="M329" s="92"/>
      <c r="N329" s="92"/>
      <c r="O329" s="93">
        <v>0</v>
      </c>
      <c r="P329" s="86"/>
      <c r="Q329" s="82">
        <f t="shared" si="36"/>
        <v>140</v>
      </c>
    </row>
    <row r="330" spans="1:17" ht="20.25" customHeight="1">
      <c r="A330" s="85"/>
      <c r="B330" s="102"/>
      <c r="C330" s="86"/>
      <c r="D330" s="87"/>
      <c r="E330" s="88" t="str">
        <f>IFERROR(VLOOKUP(D330,ProductMaster!$A:$B,2,FALSE),"")</f>
        <v/>
      </c>
      <c r="F330" s="88" t="str">
        <f>IFERROR(VLOOKUP(D330,ProductMaster!$A:$C,3,FALSE),"")</f>
        <v/>
      </c>
      <c r="G330" s="89" t="str">
        <f>IFERROR(VLOOKUP($D330,ProductMaster!$A:$O,4,FALSE),"")</f>
        <v/>
      </c>
      <c r="H330" s="90"/>
      <c r="I330" s="123">
        <f>IFERROR(VLOOKUP(E330,ProductMaster!B:G,6,FALSE),0)</f>
        <v>0</v>
      </c>
      <c r="J330" s="123">
        <f t="shared" si="37"/>
        <v>0</v>
      </c>
      <c r="K330" s="123">
        <f t="shared" ref="K330:K385" si="38">ROUND(SUM(H330*I330),2)</f>
        <v>0</v>
      </c>
      <c r="L330" s="91"/>
      <c r="M330" s="92"/>
      <c r="N330" s="92"/>
      <c r="O330" s="93">
        <v>0</v>
      </c>
      <c r="P330" s="86"/>
      <c r="Q330" s="82">
        <f t="shared" si="36"/>
        <v>141</v>
      </c>
    </row>
    <row r="331" spans="1:17" ht="20.25" customHeight="1">
      <c r="A331" s="85"/>
      <c r="B331" s="102"/>
      <c r="C331" s="86"/>
      <c r="D331" s="87"/>
      <c r="E331" s="88" t="str">
        <f>IFERROR(VLOOKUP(D331,ProductMaster!$A:$B,2,FALSE),"")</f>
        <v/>
      </c>
      <c r="F331" s="88" t="str">
        <f>IFERROR(VLOOKUP(D331,ProductMaster!$A:$C,3,FALSE),"")</f>
        <v/>
      </c>
      <c r="G331" s="89" t="str">
        <f>IFERROR(VLOOKUP($D331,ProductMaster!$A:$O,4,FALSE),"")</f>
        <v/>
      </c>
      <c r="H331" s="90"/>
      <c r="I331" s="123">
        <f>IFERROR(VLOOKUP(E331,ProductMaster!B:G,6,FALSE),0)</f>
        <v>0</v>
      </c>
      <c r="J331" s="123">
        <f t="shared" si="37"/>
        <v>0</v>
      </c>
      <c r="K331" s="123">
        <f t="shared" si="38"/>
        <v>0</v>
      </c>
      <c r="L331" s="91"/>
      <c r="M331" s="92"/>
      <c r="N331" s="92"/>
      <c r="O331" s="93">
        <v>0</v>
      </c>
      <c r="P331" s="86"/>
      <c r="Q331" s="82">
        <f t="shared" si="36"/>
        <v>142</v>
      </c>
    </row>
    <row r="332" spans="1:17" ht="20.25" customHeight="1">
      <c r="A332" s="85"/>
      <c r="B332" s="102"/>
      <c r="C332" s="86"/>
      <c r="D332" s="87"/>
      <c r="E332" s="88" t="str">
        <f>IFERROR(VLOOKUP(D332,ProductMaster!$A:$B,2,FALSE),"")</f>
        <v/>
      </c>
      <c r="F332" s="88" t="str">
        <f>IFERROR(VLOOKUP(D332,ProductMaster!$A:$C,3,FALSE),"")</f>
        <v/>
      </c>
      <c r="G332" s="89" t="str">
        <f>IFERROR(VLOOKUP($D332,ProductMaster!$A:$O,4,FALSE),"")</f>
        <v/>
      </c>
      <c r="H332" s="90"/>
      <c r="I332" s="123">
        <f>IFERROR(VLOOKUP(E332,ProductMaster!B:G,6,FALSE),0)</f>
        <v>0</v>
      </c>
      <c r="J332" s="123">
        <f t="shared" si="37"/>
        <v>0</v>
      </c>
      <c r="K332" s="123">
        <f t="shared" si="38"/>
        <v>0</v>
      </c>
      <c r="L332" s="91"/>
      <c r="M332" s="92"/>
      <c r="N332" s="92"/>
      <c r="O332" s="93">
        <v>0</v>
      </c>
      <c r="P332" s="86"/>
      <c r="Q332" s="82">
        <f t="shared" si="36"/>
        <v>143</v>
      </c>
    </row>
    <row r="333" spans="1:17" ht="20.25" customHeight="1">
      <c r="A333" s="85"/>
      <c r="B333" s="102"/>
      <c r="C333" s="86"/>
      <c r="D333" s="87"/>
      <c r="E333" s="88" t="str">
        <f>IFERROR(VLOOKUP(D333,ProductMaster!$A:$B,2,FALSE),"")</f>
        <v/>
      </c>
      <c r="F333" s="88" t="str">
        <f>IFERROR(VLOOKUP(D333,ProductMaster!$A:$C,3,FALSE),"")</f>
        <v/>
      </c>
      <c r="G333" s="89" t="str">
        <f>IFERROR(VLOOKUP($D333,ProductMaster!$A:$O,4,FALSE),"")</f>
        <v/>
      </c>
      <c r="H333" s="90"/>
      <c r="I333" s="123">
        <f>IFERROR(VLOOKUP(E333,ProductMaster!B:G,6,FALSE),0)</f>
        <v>0</v>
      </c>
      <c r="J333" s="123">
        <f t="shared" si="37"/>
        <v>0</v>
      </c>
      <c r="K333" s="123">
        <f t="shared" si="38"/>
        <v>0</v>
      </c>
      <c r="L333" s="91"/>
      <c r="M333" s="92"/>
      <c r="N333" s="92"/>
      <c r="O333" s="93">
        <v>0</v>
      </c>
      <c r="P333" s="86"/>
      <c r="Q333" s="82">
        <f t="shared" si="36"/>
        <v>144</v>
      </c>
    </row>
    <row r="334" spans="1:17" ht="20.25" customHeight="1">
      <c r="A334" s="85"/>
      <c r="B334" s="102"/>
      <c r="C334" s="86"/>
      <c r="D334" s="87"/>
      <c r="E334" s="88" t="str">
        <f>IFERROR(VLOOKUP(D334,ProductMaster!$A:$B,2,FALSE),"")</f>
        <v/>
      </c>
      <c r="F334" s="88" t="str">
        <f>IFERROR(VLOOKUP(D334,ProductMaster!$A:$C,3,FALSE),"")</f>
        <v/>
      </c>
      <c r="G334" s="89" t="str">
        <f>IFERROR(VLOOKUP($D334,ProductMaster!$A:$O,4,FALSE),"")</f>
        <v/>
      </c>
      <c r="H334" s="90"/>
      <c r="I334" s="123">
        <f>IFERROR(VLOOKUP(E334,ProductMaster!B:G,6,FALSE),0)</f>
        <v>0</v>
      </c>
      <c r="J334" s="123">
        <f t="shared" si="37"/>
        <v>0</v>
      </c>
      <c r="K334" s="123">
        <f t="shared" si="38"/>
        <v>0</v>
      </c>
      <c r="L334" s="91"/>
      <c r="M334" s="92"/>
      <c r="N334" s="92"/>
      <c r="O334" s="93">
        <v>0</v>
      </c>
      <c r="P334" s="86"/>
      <c r="Q334" s="82">
        <f t="shared" si="36"/>
        <v>145</v>
      </c>
    </row>
    <row r="335" spans="1:17" ht="20.25" customHeight="1">
      <c r="A335" s="85"/>
      <c r="B335" s="102"/>
      <c r="C335" s="86"/>
      <c r="D335" s="87"/>
      <c r="E335" s="88" t="str">
        <f>IFERROR(VLOOKUP(D335,ProductMaster!$A:$B,2,FALSE),"")</f>
        <v/>
      </c>
      <c r="F335" s="88" t="str">
        <f>IFERROR(VLOOKUP(D335,ProductMaster!$A:$C,3,FALSE),"")</f>
        <v/>
      </c>
      <c r="G335" s="89" t="str">
        <f>IFERROR(VLOOKUP($D335,ProductMaster!$A:$O,4,FALSE),"")</f>
        <v/>
      </c>
      <c r="H335" s="90"/>
      <c r="I335" s="123">
        <f>IFERROR(VLOOKUP(E335,ProductMaster!B:G,6,FALSE),0)</f>
        <v>0</v>
      </c>
      <c r="J335" s="123">
        <f t="shared" si="37"/>
        <v>0</v>
      </c>
      <c r="K335" s="123">
        <f t="shared" si="38"/>
        <v>0</v>
      </c>
      <c r="L335" s="91"/>
      <c r="M335" s="92"/>
      <c r="N335" s="92"/>
      <c r="O335" s="93">
        <v>0</v>
      </c>
      <c r="P335" s="86"/>
      <c r="Q335" s="82">
        <f t="shared" si="36"/>
        <v>146</v>
      </c>
    </row>
    <row r="336" spans="1:17" ht="20.25" customHeight="1">
      <c r="A336" s="85"/>
      <c r="B336" s="102"/>
      <c r="C336" s="86"/>
      <c r="D336" s="87"/>
      <c r="E336" s="88" t="str">
        <f>IFERROR(VLOOKUP(D336,ProductMaster!$A:$B,2,FALSE),"")</f>
        <v/>
      </c>
      <c r="F336" s="88" t="str">
        <f>IFERROR(VLOOKUP(D336,ProductMaster!$A:$C,3,FALSE),"")</f>
        <v/>
      </c>
      <c r="G336" s="89" t="str">
        <f>IFERROR(VLOOKUP($D336,ProductMaster!$A:$O,4,FALSE),"")</f>
        <v/>
      </c>
      <c r="H336" s="90"/>
      <c r="I336" s="123">
        <f>IFERROR(VLOOKUP(E336,ProductMaster!B:G,6,FALSE),0)</f>
        <v>0</v>
      </c>
      <c r="J336" s="123">
        <f t="shared" si="37"/>
        <v>0</v>
      </c>
      <c r="K336" s="123">
        <f t="shared" si="38"/>
        <v>0</v>
      </c>
      <c r="L336" s="91"/>
      <c r="M336" s="92"/>
      <c r="N336" s="92"/>
      <c r="O336" s="93">
        <v>0</v>
      </c>
      <c r="P336" s="86"/>
      <c r="Q336" s="82">
        <f t="shared" si="36"/>
        <v>147</v>
      </c>
    </row>
    <row r="337" spans="1:17" ht="20.25" customHeight="1">
      <c r="A337" s="85"/>
      <c r="B337" s="102"/>
      <c r="C337" s="86"/>
      <c r="D337" s="87"/>
      <c r="E337" s="88" t="str">
        <f>IFERROR(VLOOKUP(D337,ProductMaster!$A:$B,2,FALSE),"")</f>
        <v/>
      </c>
      <c r="F337" s="88" t="str">
        <f>IFERROR(VLOOKUP(D337,ProductMaster!$A:$C,3,FALSE),"")</f>
        <v/>
      </c>
      <c r="G337" s="89" t="str">
        <f>IFERROR(VLOOKUP($D337,ProductMaster!$A:$O,4,FALSE),"")</f>
        <v/>
      </c>
      <c r="H337" s="90"/>
      <c r="I337" s="123">
        <f>IFERROR(VLOOKUP(E337,ProductMaster!B:G,6,FALSE),0)</f>
        <v>0</v>
      </c>
      <c r="J337" s="123">
        <f t="shared" si="37"/>
        <v>0</v>
      </c>
      <c r="K337" s="123">
        <f t="shared" si="38"/>
        <v>0</v>
      </c>
      <c r="L337" s="91"/>
      <c r="M337" s="92"/>
      <c r="N337" s="92"/>
      <c r="O337" s="93">
        <v>0</v>
      </c>
      <c r="P337" s="86"/>
      <c r="Q337" s="82">
        <f t="shared" si="36"/>
        <v>148</v>
      </c>
    </row>
    <row r="338" spans="1:17" ht="20.25" customHeight="1">
      <c r="A338" s="85"/>
      <c r="B338" s="102"/>
      <c r="C338" s="86"/>
      <c r="D338" s="87"/>
      <c r="E338" s="88" t="str">
        <f>IFERROR(VLOOKUP(D338,ProductMaster!$A:$B,2,FALSE),"")</f>
        <v/>
      </c>
      <c r="F338" s="88" t="str">
        <f>IFERROR(VLOOKUP(D338,ProductMaster!$A:$C,3,FALSE),"")</f>
        <v/>
      </c>
      <c r="G338" s="89" t="str">
        <f>IFERROR(VLOOKUP($D338,ProductMaster!$A:$O,4,FALSE),"")</f>
        <v/>
      </c>
      <c r="H338" s="90"/>
      <c r="I338" s="123">
        <f>IFERROR(VLOOKUP(E338,ProductMaster!B:G,6,FALSE),0)</f>
        <v>0</v>
      </c>
      <c r="J338" s="123">
        <f t="shared" si="37"/>
        <v>0</v>
      </c>
      <c r="K338" s="123">
        <f t="shared" si="38"/>
        <v>0</v>
      </c>
      <c r="L338" s="91"/>
      <c r="M338" s="92"/>
      <c r="N338" s="92"/>
      <c r="O338" s="93">
        <v>0</v>
      </c>
      <c r="P338" s="86"/>
      <c r="Q338" s="82">
        <f t="shared" si="36"/>
        <v>149</v>
      </c>
    </row>
    <row r="339" spans="1:17" ht="20.25" customHeight="1">
      <c r="A339" s="85"/>
      <c r="B339" s="102"/>
      <c r="C339" s="86"/>
      <c r="D339" s="87"/>
      <c r="E339" s="88" t="str">
        <f>IFERROR(VLOOKUP(D339,ProductMaster!$A:$B,2,FALSE),"")</f>
        <v/>
      </c>
      <c r="F339" s="88" t="str">
        <f>IFERROR(VLOOKUP(D339,ProductMaster!$A:$C,3,FALSE),"")</f>
        <v/>
      </c>
      <c r="G339" s="89" t="str">
        <f>IFERROR(VLOOKUP($D339,ProductMaster!$A:$O,4,FALSE),"")</f>
        <v/>
      </c>
      <c r="H339" s="90"/>
      <c r="I339" s="123">
        <f>IFERROR(VLOOKUP(E339,ProductMaster!B:G,6,FALSE),0)</f>
        <v>0</v>
      </c>
      <c r="J339" s="123">
        <f t="shared" si="37"/>
        <v>0</v>
      </c>
      <c r="K339" s="123">
        <f t="shared" si="38"/>
        <v>0</v>
      </c>
      <c r="L339" s="91"/>
      <c r="M339" s="92"/>
      <c r="N339" s="92"/>
      <c r="O339" s="93">
        <v>0</v>
      </c>
      <c r="P339" s="86"/>
      <c r="Q339" s="82">
        <f t="shared" si="36"/>
        <v>150</v>
      </c>
    </row>
    <row r="340" spans="1:17" ht="20.25" customHeight="1">
      <c r="A340" s="85"/>
      <c r="B340" s="102"/>
      <c r="C340" s="86"/>
      <c r="D340" s="87"/>
      <c r="E340" s="88" t="str">
        <f>IFERROR(VLOOKUP(D340,ProductMaster!$A:$B,2,FALSE),"")</f>
        <v/>
      </c>
      <c r="F340" s="88" t="str">
        <f>IFERROR(VLOOKUP(D340,ProductMaster!$A:$C,3,FALSE),"")</f>
        <v/>
      </c>
      <c r="G340" s="89" t="str">
        <f>IFERROR(VLOOKUP($D340,ProductMaster!$A:$O,4,FALSE),"")</f>
        <v/>
      </c>
      <c r="H340" s="90"/>
      <c r="I340" s="123">
        <f>IFERROR(VLOOKUP(E340,ProductMaster!B:G,6,FALSE),0)</f>
        <v>0</v>
      </c>
      <c r="J340" s="123">
        <f t="shared" si="37"/>
        <v>0</v>
      </c>
      <c r="K340" s="123">
        <f t="shared" si="38"/>
        <v>0</v>
      </c>
      <c r="L340" s="91"/>
      <c r="M340" s="92"/>
      <c r="N340" s="92"/>
      <c r="O340" s="93">
        <v>0</v>
      </c>
      <c r="P340" s="86"/>
      <c r="Q340" s="82">
        <f t="shared" si="36"/>
        <v>151</v>
      </c>
    </row>
    <row r="341" spans="1:17" ht="20.25" customHeight="1">
      <c r="A341" s="85"/>
      <c r="B341" s="102"/>
      <c r="C341" s="86"/>
      <c r="D341" s="87"/>
      <c r="E341" s="88" t="str">
        <f>IFERROR(VLOOKUP(D341,ProductMaster!$A:$B,2,FALSE),"")</f>
        <v/>
      </c>
      <c r="F341" s="88" t="str">
        <f>IFERROR(VLOOKUP(D341,ProductMaster!$A:$C,3,FALSE),"")</f>
        <v/>
      </c>
      <c r="G341" s="89" t="str">
        <f>IFERROR(VLOOKUP($D341,ProductMaster!$A:$O,4,FALSE),"")</f>
        <v/>
      </c>
      <c r="H341" s="90"/>
      <c r="I341" s="123">
        <f>IFERROR(VLOOKUP(E341,ProductMaster!B:G,6,FALSE),0)</f>
        <v>0</v>
      </c>
      <c r="J341" s="123">
        <f t="shared" si="37"/>
        <v>0</v>
      </c>
      <c r="K341" s="123">
        <f t="shared" si="38"/>
        <v>0</v>
      </c>
      <c r="L341" s="91"/>
      <c r="M341" s="92"/>
      <c r="N341" s="92"/>
      <c r="O341" s="93">
        <v>0</v>
      </c>
      <c r="P341" s="86"/>
      <c r="Q341" s="82">
        <f t="shared" si="36"/>
        <v>152</v>
      </c>
    </row>
    <row r="342" spans="1:17" ht="20.25" customHeight="1">
      <c r="A342" s="85"/>
      <c r="B342" s="102"/>
      <c r="C342" s="86"/>
      <c r="D342" s="87"/>
      <c r="E342" s="88" t="str">
        <f>IFERROR(VLOOKUP(D342,ProductMaster!$A:$B,2,FALSE),"")</f>
        <v/>
      </c>
      <c r="F342" s="88" t="str">
        <f>IFERROR(VLOOKUP(D342,ProductMaster!$A:$C,3,FALSE),"")</f>
        <v/>
      </c>
      <c r="G342" s="89" t="str">
        <f>IFERROR(VLOOKUP($D342,ProductMaster!$A:$O,4,FALSE),"")</f>
        <v/>
      </c>
      <c r="H342" s="90"/>
      <c r="I342" s="123">
        <f>IFERROR(VLOOKUP(E342,ProductMaster!B:G,6,FALSE),0)</f>
        <v>0</v>
      </c>
      <c r="J342" s="123">
        <f t="shared" si="37"/>
        <v>0</v>
      </c>
      <c r="K342" s="123">
        <f t="shared" si="38"/>
        <v>0</v>
      </c>
      <c r="L342" s="91"/>
      <c r="M342" s="92"/>
      <c r="N342" s="92"/>
      <c r="O342" s="93">
        <v>0</v>
      </c>
      <c r="P342" s="86"/>
      <c r="Q342" s="82">
        <f t="shared" si="36"/>
        <v>153</v>
      </c>
    </row>
    <row r="343" spans="1:17" ht="20.25" customHeight="1">
      <c r="A343" s="85"/>
      <c r="B343" s="102"/>
      <c r="C343" s="86"/>
      <c r="D343" s="87"/>
      <c r="E343" s="88" t="str">
        <f>IFERROR(VLOOKUP(D343,ProductMaster!$A:$B,2,FALSE),"")</f>
        <v/>
      </c>
      <c r="F343" s="88" t="str">
        <f>IFERROR(VLOOKUP(D343,ProductMaster!$A:$C,3,FALSE),"")</f>
        <v/>
      </c>
      <c r="G343" s="89" t="str">
        <f>IFERROR(VLOOKUP($D343,ProductMaster!$A:$O,4,FALSE),"")</f>
        <v/>
      </c>
      <c r="H343" s="90"/>
      <c r="I343" s="123">
        <f>IFERROR(VLOOKUP(E343,ProductMaster!B:G,6,FALSE),0)</f>
        <v>0</v>
      </c>
      <c r="J343" s="123">
        <f t="shared" si="37"/>
        <v>0</v>
      </c>
      <c r="K343" s="123">
        <f t="shared" si="38"/>
        <v>0</v>
      </c>
      <c r="L343" s="91"/>
      <c r="M343" s="92"/>
      <c r="N343" s="92"/>
      <c r="O343" s="93">
        <v>0</v>
      </c>
      <c r="P343" s="86"/>
      <c r="Q343" s="82">
        <f t="shared" si="36"/>
        <v>154</v>
      </c>
    </row>
    <row r="344" spans="1:17" ht="20.25" customHeight="1">
      <c r="A344" s="85"/>
      <c r="B344" s="102"/>
      <c r="C344" s="86"/>
      <c r="D344" s="87"/>
      <c r="E344" s="88" t="str">
        <f>IFERROR(VLOOKUP(D344,ProductMaster!$A:$B,2,FALSE),"")</f>
        <v/>
      </c>
      <c r="F344" s="88" t="str">
        <f>IFERROR(VLOOKUP(D344,ProductMaster!$A:$C,3,FALSE),"")</f>
        <v/>
      </c>
      <c r="G344" s="89" t="str">
        <f>IFERROR(VLOOKUP($D344,ProductMaster!$A:$O,4,FALSE),"")</f>
        <v/>
      </c>
      <c r="H344" s="90"/>
      <c r="I344" s="123">
        <f>IFERROR(VLOOKUP(E344,ProductMaster!B:G,6,FALSE),0)</f>
        <v>0</v>
      </c>
      <c r="J344" s="123">
        <f t="shared" si="37"/>
        <v>0</v>
      </c>
      <c r="K344" s="123">
        <f t="shared" si="38"/>
        <v>0</v>
      </c>
      <c r="L344" s="91"/>
      <c r="M344" s="92"/>
      <c r="N344" s="92"/>
      <c r="O344" s="93">
        <v>0</v>
      </c>
      <c r="P344" s="86"/>
      <c r="Q344" s="82">
        <f t="shared" si="36"/>
        <v>155</v>
      </c>
    </row>
    <row r="345" spans="1:17" ht="20.25" customHeight="1">
      <c r="A345" s="85"/>
      <c r="B345" s="102"/>
      <c r="C345" s="86"/>
      <c r="D345" s="87"/>
      <c r="E345" s="88" t="str">
        <f>IFERROR(VLOOKUP(D345,ProductMaster!$A:$B,2,FALSE),"")</f>
        <v/>
      </c>
      <c r="F345" s="88" t="str">
        <f>IFERROR(VLOOKUP(D345,ProductMaster!$A:$C,3,FALSE),"")</f>
        <v/>
      </c>
      <c r="G345" s="89" t="str">
        <f>IFERROR(VLOOKUP($D345,ProductMaster!$A:$O,4,FALSE),"")</f>
        <v/>
      </c>
      <c r="H345" s="90"/>
      <c r="I345" s="123">
        <f>IFERROR(VLOOKUP(E345,ProductMaster!B:G,6,FALSE),0)</f>
        <v>0</v>
      </c>
      <c r="J345" s="123">
        <f t="shared" si="37"/>
        <v>0</v>
      </c>
      <c r="K345" s="123">
        <f t="shared" si="38"/>
        <v>0</v>
      </c>
      <c r="L345" s="91"/>
      <c r="M345" s="92"/>
      <c r="N345" s="92"/>
      <c r="O345" s="93">
        <v>0</v>
      </c>
      <c r="P345" s="86"/>
      <c r="Q345" s="82">
        <f t="shared" si="36"/>
        <v>156</v>
      </c>
    </row>
    <row r="346" spans="1:17" ht="20.25" customHeight="1">
      <c r="A346" s="85"/>
      <c r="B346" s="102"/>
      <c r="C346" s="86"/>
      <c r="D346" s="87"/>
      <c r="E346" s="88" t="str">
        <f>IFERROR(VLOOKUP(D346,ProductMaster!$A:$B,2,FALSE),"")</f>
        <v/>
      </c>
      <c r="F346" s="88" t="str">
        <f>IFERROR(VLOOKUP(D346,ProductMaster!$A:$C,3,FALSE),"")</f>
        <v/>
      </c>
      <c r="G346" s="89" t="str">
        <f>IFERROR(VLOOKUP($D346,ProductMaster!$A:$O,4,FALSE),"")</f>
        <v/>
      </c>
      <c r="H346" s="90"/>
      <c r="I346" s="123">
        <f>IFERROR(VLOOKUP(E346,ProductMaster!B:G,6,FALSE),0)</f>
        <v>0</v>
      </c>
      <c r="J346" s="123">
        <f t="shared" si="37"/>
        <v>0</v>
      </c>
      <c r="K346" s="123">
        <f t="shared" si="38"/>
        <v>0</v>
      </c>
      <c r="L346" s="91"/>
      <c r="M346" s="92"/>
      <c r="N346" s="92"/>
      <c r="O346" s="93">
        <v>0</v>
      </c>
      <c r="P346" s="86"/>
      <c r="Q346" s="82">
        <f t="shared" si="36"/>
        <v>157</v>
      </c>
    </row>
    <row r="347" spans="1:17" ht="20.25" customHeight="1">
      <c r="A347" s="85"/>
      <c r="B347" s="102"/>
      <c r="C347" s="86"/>
      <c r="D347" s="87"/>
      <c r="E347" s="88" t="str">
        <f>IFERROR(VLOOKUP(D347,ProductMaster!$A:$B,2,FALSE),"")</f>
        <v/>
      </c>
      <c r="F347" s="88" t="str">
        <f>IFERROR(VLOOKUP(D347,ProductMaster!$A:$C,3,FALSE),"")</f>
        <v/>
      </c>
      <c r="G347" s="89" t="str">
        <f>IFERROR(VLOOKUP($D347,ProductMaster!$A:$O,4,FALSE),"")</f>
        <v/>
      </c>
      <c r="H347" s="90"/>
      <c r="I347" s="123">
        <f>IFERROR(VLOOKUP(E347,ProductMaster!B:G,6,FALSE),0)</f>
        <v>0</v>
      </c>
      <c r="J347" s="123">
        <f t="shared" si="37"/>
        <v>0</v>
      </c>
      <c r="K347" s="123">
        <f t="shared" si="38"/>
        <v>0</v>
      </c>
      <c r="L347" s="91"/>
      <c r="M347" s="92"/>
      <c r="N347" s="92"/>
      <c r="O347" s="93">
        <v>0</v>
      </c>
      <c r="P347" s="86"/>
      <c r="Q347" s="82">
        <f t="shared" si="36"/>
        <v>158</v>
      </c>
    </row>
    <row r="348" spans="1:17" ht="20.25" customHeight="1">
      <c r="A348" s="85"/>
      <c r="B348" s="102"/>
      <c r="C348" s="86"/>
      <c r="D348" s="87"/>
      <c r="E348" s="88" t="str">
        <f>IFERROR(VLOOKUP(D348,ProductMaster!$A:$B,2,FALSE),"")</f>
        <v/>
      </c>
      <c r="F348" s="88" t="str">
        <f>IFERROR(VLOOKUP(D348,ProductMaster!$A:$C,3,FALSE),"")</f>
        <v/>
      </c>
      <c r="G348" s="89" t="str">
        <f>IFERROR(VLOOKUP($D348,ProductMaster!$A:$O,4,FALSE),"")</f>
        <v/>
      </c>
      <c r="H348" s="90"/>
      <c r="I348" s="123">
        <f>IFERROR(VLOOKUP(E348,ProductMaster!B:G,6,FALSE),0)</f>
        <v>0</v>
      </c>
      <c r="J348" s="123">
        <f t="shared" si="37"/>
        <v>0</v>
      </c>
      <c r="K348" s="123">
        <f t="shared" si="38"/>
        <v>0</v>
      </c>
      <c r="L348" s="91"/>
      <c r="M348" s="92"/>
      <c r="N348" s="92"/>
      <c r="O348" s="93">
        <v>0</v>
      </c>
      <c r="P348" s="86"/>
      <c r="Q348" s="82">
        <f t="shared" si="36"/>
        <v>159</v>
      </c>
    </row>
    <row r="349" spans="1:17" ht="20.25" customHeight="1">
      <c r="A349" s="85"/>
      <c r="B349" s="102"/>
      <c r="C349" s="86"/>
      <c r="D349" s="87"/>
      <c r="E349" s="88" t="str">
        <f>IFERROR(VLOOKUP(D349,ProductMaster!$A:$B,2,FALSE),"")</f>
        <v/>
      </c>
      <c r="F349" s="88" t="str">
        <f>IFERROR(VLOOKUP(D349,ProductMaster!$A:$C,3,FALSE),"")</f>
        <v/>
      </c>
      <c r="G349" s="89" t="str">
        <f>IFERROR(VLOOKUP($D349,ProductMaster!$A:$O,4,FALSE),"")</f>
        <v/>
      </c>
      <c r="H349" s="90"/>
      <c r="I349" s="123">
        <f>IFERROR(VLOOKUP(E349,ProductMaster!B:G,6,FALSE),0)</f>
        <v>0</v>
      </c>
      <c r="J349" s="123">
        <f t="shared" si="37"/>
        <v>0</v>
      </c>
      <c r="K349" s="123">
        <f t="shared" si="38"/>
        <v>0</v>
      </c>
      <c r="L349" s="91"/>
      <c r="M349" s="92"/>
      <c r="N349" s="92"/>
      <c r="O349" s="93">
        <v>0</v>
      </c>
      <c r="P349" s="86"/>
      <c r="Q349" s="82">
        <f t="shared" si="36"/>
        <v>160</v>
      </c>
    </row>
    <row r="350" spans="1:17" ht="20.25" customHeight="1">
      <c r="A350" s="85"/>
      <c r="B350" s="102"/>
      <c r="C350" s="86"/>
      <c r="D350" s="87"/>
      <c r="E350" s="88" t="str">
        <f>IFERROR(VLOOKUP(D350,ProductMaster!$A:$B,2,FALSE),"")</f>
        <v/>
      </c>
      <c r="F350" s="88" t="str">
        <f>IFERROR(VLOOKUP(D350,ProductMaster!$A:$C,3,FALSE),"")</f>
        <v/>
      </c>
      <c r="G350" s="89" t="str">
        <f>IFERROR(VLOOKUP($D350,ProductMaster!$A:$O,4,FALSE),"")</f>
        <v/>
      </c>
      <c r="H350" s="90"/>
      <c r="I350" s="123">
        <f>IFERROR(VLOOKUP(E350,ProductMaster!B:G,6,FALSE),0)</f>
        <v>0</v>
      </c>
      <c r="J350" s="123">
        <f t="shared" si="37"/>
        <v>0</v>
      </c>
      <c r="K350" s="123">
        <f t="shared" si="38"/>
        <v>0</v>
      </c>
      <c r="L350" s="91"/>
      <c r="M350" s="92"/>
      <c r="N350" s="92"/>
      <c r="O350" s="93">
        <v>0</v>
      </c>
      <c r="P350" s="86"/>
      <c r="Q350" s="82">
        <f t="shared" si="36"/>
        <v>161</v>
      </c>
    </row>
    <row r="351" spans="1:17" ht="20.25" customHeight="1">
      <c r="A351" s="85"/>
      <c r="B351" s="102"/>
      <c r="C351" s="86"/>
      <c r="D351" s="87"/>
      <c r="E351" s="88" t="str">
        <f>IFERROR(VLOOKUP(D351,ProductMaster!$A:$B,2,FALSE),"")</f>
        <v/>
      </c>
      <c r="F351" s="88" t="str">
        <f>IFERROR(VLOOKUP(D351,ProductMaster!$A:$C,3,FALSE),"")</f>
        <v/>
      </c>
      <c r="G351" s="89" t="str">
        <f>IFERROR(VLOOKUP($D351,ProductMaster!$A:$O,4,FALSE),"")</f>
        <v/>
      </c>
      <c r="H351" s="90"/>
      <c r="I351" s="123">
        <f>IFERROR(VLOOKUP(E351,ProductMaster!B:G,6,FALSE),0)</f>
        <v>0</v>
      </c>
      <c r="J351" s="123">
        <f t="shared" si="37"/>
        <v>0</v>
      </c>
      <c r="K351" s="123">
        <f t="shared" si="38"/>
        <v>0</v>
      </c>
      <c r="L351" s="91"/>
      <c r="M351" s="92"/>
      <c r="N351" s="92"/>
      <c r="O351" s="93">
        <v>0</v>
      </c>
      <c r="P351" s="86"/>
      <c r="Q351" s="82">
        <f t="shared" si="36"/>
        <v>162</v>
      </c>
    </row>
    <row r="352" spans="1:17" ht="20.25" customHeight="1">
      <c r="A352" s="85"/>
      <c r="B352" s="102"/>
      <c r="C352" s="86"/>
      <c r="D352" s="87"/>
      <c r="E352" s="88" t="str">
        <f>IFERROR(VLOOKUP(D352,ProductMaster!$A:$B,2,FALSE),"")</f>
        <v/>
      </c>
      <c r="F352" s="88" t="str">
        <f>IFERROR(VLOOKUP(D352,ProductMaster!$A:$C,3,FALSE),"")</f>
        <v/>
      </c>
      <c r="G352" s="89" t="str">
        <f>IFERROR(VLOOKUP($D352,ProductMaster!$A:$O,4,FALSE),"")</f>
        <v/>
      </c>
      <c r="H352" s="90"/>
      <c r="I352" s="123">
        <f>IFERROR(VLOOKUP(E352,ProductMaster!B:G,6,FALSE),0)</f>
        <v>0</v>
      </c>
      <c r="J352" s="123">
        <f t="shared" si="37"/>
        <v>0</v>
      </c>
      <c r="K352" s="123">
        <f t="shared" si="38"/>
        <v>0</v>
      </c>
      <c r="L352" s="91"/>
      <c r="M352" s="92"/>
      <c r="N352" s="92"/>
      <c r="O352" s="93">
        <v>0</v>
      </c>
      <c r="P352" s="86"/>
      <c r="Q352" s="82">
        <f t="shared" si="36"/>
        <v>163</v>
      </c>
    </row>
    <row r="353" spans="1:17" ht="20.25" customHeight="1">
      <c r="A353" s="85"/>
      <c r="B353" s="102"/>
      <c r="C353" s="86"/>
      <c r="D353" s="87"/>
      <c r="E353" s="88" t="str">
        <f>IFERROR(VLOOKUP(D353,ProductMaster!$A:$B,2,FALSE),"")</f>
        <v/>
      </c>
      <c r="F353" s="88" t="str">
        <f>IFERROR(VLOOKUP(D353,ProductMaster!$A:$C,3,FALSE),"")</f>
        <v/>
      </c>
      <c r="G353" s="89" t="str">
        <f>IFERROR(VLOOKUP($D353,ProductMaster!$A:$O,4,FALSE),"")</f>
        <v/>
      </c>
      <c r="H353" s="90"/>
      <c r="I353" s="123">
        <f>IFERROR(VLOOKUP(E353,ProductMaster!B:G,6,FALSE),0)</f>
        <v>0</v>
      </c>
      <c r="J353" s="123">
        <f t="shared" si="37"/>
        <v>0</v>
      </c>
      <c r="K353" s="123">
        <f t="shared" si="38"/>
        <v>0</v>
      </c>
      <c r="L353" s="91"/>
      <c r="M353" s="92"/>
      <c r="N353" s="92"/>
      <c r="O353" s="93">
        <v>0</v>
      </c>
      <c r="P353" s="86"/>
      <c r="Q353" s="82">
        <f t="shared" si="36"/>
        <v>164</v>
      </c>
    </row>
    <row r="354" spans="1:17" ht="20.25" customHeight="1">
      <c r="A354" s="85"/>
      <c r="B354" s="102"/>
      <c r="C354" s="86"/>
      <c r="D354" s="87"/>
      <c r="E354" s="88" t="str">
        <f>IFERROR(VLOOKUP(D354,ProductMaster!$A:$B,2,FALSE),"")</f>
        <v/>
      </c>
      <c r="F354" s="88" t="str">
        <f>IFERROR(VLOOKUP(D354,ProductMaster!$A:$C,3,FALSE),"")</f>
        <v/>
      </c>
      <c r="G354" s="89" t="str">
        <f>IFERROR(VLOOKUP($D354,ProductMaster!$A:$O,4,FALSE),"")</f>
        <v/>
      </c>
      <c r="H354" s="90"/>
      <c r="I354" s="123">
        <f>IFERROR(VLOOKUP(E354,ProductMaster!B:G,6,FALSE),0)</f>
        <v>0</v>
      </c>
      <c r="J354" s="123">
        <f t="shared" si="37"/>
        <v>0</v>
      </c>
      <c r="K354" s="123">
        <f t="shared" si="38"/>
        <v>0</v>
      </c>
      <c r="L354" s="91"/>
      <c r="M354" s="92"/>
      <c r="N354" s="92"/>
      <c r="O354" s="93">
        <v>0</v>
      </c>
      <c r="P354" s="86"/>
      <c r="Q354" s="82">
        <f t="shared" si="36"/>
        <v>165</v>
      </c>
    </row>
    <row r="355" spans="1:17" ht="20.25" customHeight="1">
      <c r="A355" s="85"/>
      <c r="B355" s="102"/>
      <c r="C355" s="86"/>
      <c r="D355" s="87"/>
      <c r="E355" s="88" t="str">
        <f>IFERROR(VLOOKUP(D355,ProductMaster!$A:$B,2,FALSE),"")</f>
        <v/>
      </c>
      <c r="F355" s="88" t="str">
        <f>IFERROR(VLOOKUP(D355,ProductMaster!$A:$C,3,FALSE),"")</f>
        <v/>
      </c>
      <c r="G355" s="89" t="str">
        <f>IFERROR(VLOOKUP($D355,ProductMaster!$A:$O,4,FALSE),"")</f>
        <v/>
      </c>
      <c r="H355" s="90"/>
      <c r="I355" s="123">
        <f>IFERROR(VLOOKUP(E355,ProductMaster!B:G,6,FALSE),0)</f>
        <v>0</v>
      </c>
      <c r="J355" s="123">
        <f t="shared" si="37"/>
        <v>0</v>
      </c>
      <c r="K355" s="123">
        <f t="shared" si="38"/>
        <v>0</v>
      </c>
      <c r="L355" s="91"/>
      <c r="M355" s="92"/>
      <c r="N355" s="92"/>
      <c r="O355" s="93">
        <v>0</v>
      </c>
      <c r="P355" s="86"/>
      <c r="Q355" s="82">
        <f t="shared" si="36"/>
        <v>166</v>
      </c>
    </row>
    <row r="356" spans="1:17" ht="20.25" customHeight="1">
      <c r="A356" s="85"/>
      <c r="B356" s="102"/>
      <c r="C356" s="86"/>
      <c r="D356" s="87"/>
      <c r="E356" s="88" t="str">
        <f>IFERROR(VLOOKUP(D356,ProductMaster!$A:$B,2,FALSE),"")</f>
        <v/>
      </c>
      <c r="F356" s="88" t="str">
        <f>IFERROR(VLOOKUP(D356,ProductMaster!$A:$C,3,FALSE),"")</f>
        <v/>
      </c>
      <c r="G356" s="89" t="str">
        <f>IFERROR(VLOOKUP($D356,ProductMaster!$A:$O,4,FALSE),"")</f>
        <v/>
      </c>
      <c r="H356" s="90"/>
      <c r="I356" s="123">
        <f>IFERROR(VLOOKUP(E356,ProductMaster!B:G,6,FALSE),0)</f>
        <v>0</v>
      </c>
      <c r="J356" s="123">
        <f t="shared" si="37"/>
        <v>0</v>
      </c>
      <c r="K356" s="123">
        <f t="shared" si="38"/>
        <v>0</v>
      </c>
      <c r="L356" s="91"/>
      <c r="M356" s="92"/>
      <c r="N356" s="92"/>
      <c r="O356" s="93">
        <v>0</v>
      </c>
      <c r="P356" s="86"/>
      <c r="Q356" s="82">
        <f t="shared" si="36"/>
        <v>167</v>
      </c>
    </row>
    <row r="357" spans="1:17" ht="20.25" customHeight="1">
      <c r="A357" s="85"/>
      <c r="B357" s="102"/>
      <c r="C357" s="86"/>
      <c r="D357" s="87"/>
      <c r="E357" s="88" t="str">
        <f>IFERROR(VLOOKUP(D357,ProductMaster!$A:$B,2,FALSE),"")</f>
        <v/>
      </c>
      <c r="F357" s="88" t="str">
        <f>IFERROR(VLOOKUP(D357,ProductMaster!$A:$C,3,FALSE),"")</f>
        <v/>
      </c>
      <c r="G357" s="89" t="str">
        <f>IFERROR(VLOOKUP($D357,ProductMaster!$A:$O,4,FALSE),"")</f>
        <v/>
      </c>
      <c r="H357" s="90"/>
      <c r="I357" s="123">
        <f>IFERROR(VLOOKUP(E357,ProductMaster!B:G,6,FALSE),0)</f>
        <v>0</v>
      </c>
      <c r="J357" s="123">
        <f t="shared" si="37"/>
        <v>0</v>
      </c>
      <c r="K357" s="123">
        <f t="shared" si="38"/>
        <v>0</v>
      </c>
      <c r="L357" s="91"/>
      <c r="M357" s="92"/>
      <c r="N357" s="92"/>
      <c r="O357" s="93">
        <v>0</v>
      </c>
      <c r="P357" s="86"/>
      <c r="Q357" s="82">
        <f t="shared" si="36"/>
        <v>168</v>
      </c>
    </row>
    <row r="358" spans="1:17" ht="20.25" customHeight="1">
      <c r="A358" s="85"/>
      <c r="B358" s="102"/>
      <c r="C358" s="86"/>
      <c r="D358" s="87"/>
      <c r="E358" s="88" t="str">
        <f>IFERROR(VLOOKUP(D358,ProductMaster!$A:$B,2,FALSE),"")</f>
        <v/>
      </c>
      <c r="F358" s="88" t="str">
        <f>IFERROR(VLOOKUP(D358,ProductMaster!$A:$C,3,FALSE),"")</f>
        <v/>
      </c>
      <c r="G358" s="89" t="str">
        <f>IFERROR(VLOOKUP($D358,ProductMaster!$A:$O,4,FALSE),"")</f>
        <v/>
      </c>
      <c r="H358" s="90"/>
      <c r="I358" s="123">
        <f>IFERROR(VLOOKUP(E358,ProductMaster!B:G,6,FALSE),0)</f>
        <v>0</v>
      </c>
      <c r="J358" s="123">
        <f t="shared" si="37"/>
        <v>0</v>
      </c>
      <c r="K358" s="123">
        <f t="shared" si="38"/>
        <v>0</v>
      </c>
      <c r="L358" s="91"/>
      <c r="M358" s="92"/>
      <c r="N358" s="92"/>
      <c r="O358" s="93">
        <v>0</v>
      </c>
      <c r="P358" s="86"/>
      <c r="Q358" s="82">
        <f t="shared" si="36"/>
        <v>169</v>
      </c>
    </row>
    <row r="359" spans="1:17" ht="20.25" customHeight="1">
      <c r="A359" s="85"/>
      <c r="B359" s="102"/>
      <c r="C359" s="86"/>
      <c r="D359" s="87"/>
      <c r="E359" s="88" t="str">
        <f>IFERROR(VLOOKUP(D359,ProductMaster!$A:$B,2,FALSE),"")</f>
        <v/>
      </c>
      <c r="F359" s="88" t="str">
        <f>IFERROR(VLOOKUP(D359,ProductMaster!$A:$C,3,FALSE),"")</f>
        <v/>
      </c>
      <c r="G359" s="89" t="str">
        <f>IFERROR(VLOOKUP($D359,ProductMaster!$A:$O,4,FALSE),"")</f>
        <v/>
      </c>
      <c r="H359" s="90"/>
      <c r="I359" s="123">
        <f>IFERROR(VLOOKUP(E359,ProductMaster!B:G,6,FALSE),0)</f>
        <v>0</v>
      </c>
      <c r="J359" s="123">
        <f t="shared" si="37"/>
        <v>0</v>
      </c>
      <c r="K359" s="123">
        <f t="shared" si="38"/>
        <v>0</v>
      </c>
      <c r="L359" s="91"/>
      <c r="M359" s="92"/>
      <c r="N359" s="92"/>
      <c r="O359" s="93">
        <v>0</v>
      </c>
      <c r="P359" s="86"/>
      <c r="Q359" s="82">
        <f t="shared" si="36"/>
        <v>170</v>
      </c>
    </row>
    <row r="360" spans="1:17" ht="20.25" customHeight="1">
      <c r="A360" s="85"/>
      <c r="B360" s="102"/>
      <c r="C360" s="86"/>
      <c r="D360" s="87"/>
      <c r="E360" s="88" t="str">
        <f>IFERROR(VLOOKUP(D360,ProductMaster!$A:$B,2,FALSE),"")</f>
        <v/>
      </c>
      <c r="F360" s="88" t="str">
        <f>IFERROR(VLOOKUP(D360,ProductMaster!$A:$C,3,FALSE),"")</f>
        <v/>
      </c>
      <c r="G360" s="89" t="str">
        <f>IFERROR(VLOOKUP($D360,ProductMaster!$A:$O,4,FALSE),"")</f>
        <v/>
      </c>
      <c r="H360" s="90"/>
      <c r="I360" s="123">
        <f>IFERROR(VLOOKUP(E360,ProductMaster!B:G,6,FALSE),0)</f>
        <v>0</v>
      </c>
      <c r="J360" s="123">
        <f t="shared" si="37"/>
        <v>0</v>
      </c>
      <c r="K360" s="123">
        <f t="shared" si="38"/>
        <v>0</v>
      </c>
      <c r="L360" s="91"/>
      <c r="M360" s="92"/>
      <c r="N360" s="92"/>
      <c r="O360" s="93">
        <v>0</v>
      </c>
      <c r="P360" s="86"/>
      <c r="Q360" s="82">
        <f t="shared" si="36"/>
        <v>171</v>
      </c>
    </row>
    <row r="361" spans="1:17" ht="20.25" customHeight="1">
      <c r="A361" s="85"/>
      <c r="B361" s="102"/>
      <c r="C361" s="86"/>
      <c r="D361" s="87"/>
      <c r="E361" s="88" t="str">
        <f>IFERROR(VLOOKUP(D361,ProductMaster!$A:$B,2,FALSE),"")</f>
        <v/>
      </c>
      <c r="F361" s="88" t="str">
        <f>IFERROR(VLOOKUP(D361,ProductMaster!$A:$C,3,FALSE),"")</f>
        <v/>
      </c>
      <c r="G361" s="89" t="str">
        <f>IFERROR(VLOOKUP($D361,ProductMaster!$A:$O,4,FALSE),"")</f>
        <v/>
      </c>
      <c r="H361" s="90"/>
      <c r="I361" s="123">
        <f>IFERROR(VLOOKUP(E361,ProductMaster!B:G,6,FALSE),0)</f>
        <v>0</v>
      </c>
      <c r="J361" s="123">
        <f t="shared" si="37"/>
        <v>0</v>
      </c>
      <c r="K361" s="123">
        <f t="shared" si="38"/>
        <v>0</v>
      </c>
      <c r="L361" s="91"/>
      <c r="M361" s="92"/>
      <c r="N361" s="92"/>
      <c r="O361" s="93">
        <v>0</v>
      </c>
      <c r="P361" s="86"/>
      <c r="Q361" s="82">
        <f t="shared" si="36"/>
        <v>172</v>
      </c>
    </row>
    <row r="362" spans="1:17" ht="20.25" customHeight="1">
      <c r="A362" s="85"/>
      <c r="B362" s="102"/>
      <c r="C362" s="86"/>
      <c r="D362" s="87"/>
      <c r="E362" s="88" t="str">
        <f>IFERROR(VLOOKUP(D362,ProductMaster!$A:$B,2,FALSE),"")</f>
        <v/>
      </c>
      <c r="F362" s="88" t="str">
        <f>IFERROR(VLOOKUP(D362,ProductMaster!$A:$C,3,FALSE),"")</f>
        <v/>
      </c>
      <c r="G362" s="89" t="str">
        <f>IFERROR(VLOOKUP($D362,ProductMaster!$A:$O,4,FALSE),"")</f>
        <v/>
      </c>
      <c r="H362" s="90"/>
      <c r="I362" s="123">
        <f>IFERROR(VLOOKUP(E362,ProductMaster!B:G,6,FALSE),0)</f>
        <v>0</v>
      </c>
      <c r="J362" s="123">
        <f t="shared" si="37"/>
        <v>0</v>
      </c>
      <c r="K362" s="123">
        <f t="shared" si="38"/>
        <v>0</v>
      </c>
      <c r="L362" s="91"/>
      <c r="M362" s="92"/>
      <c r="N362" s="92"/>
      <c r="O362" s="93">
        <v>0</v>
      </c>
      <c r="P362" s="86"/>
      <c r="Q362" s="82">
        <f t="shared" si="36"/>
        <v>173</v>
      </c>
    </row>
    <row r="363" spans="1:17" ht="20.25" customHeight="1">
      <c r="A363" s="85"/>
      <c r="B363" s="102"/>
      <c r="C363" s="86"/>
      <c r="D363" s="87"/>
      <c r="E363" s="88" t="str">
        <f>IFERROR(VLOOKUP(D363,ProductMaster!$A:$B,2,FALSE),"")</f>
        <v/>
      </c>
      <c r="F363" s="88" t="str">
        <f>IFERROR(VLOOKUP(D363,ProductMaster!$A:$C,3,FALSE),"")</f>
        <v/>
      </c>
      <c r="G363" s="89" t="str">
        <f>IFERROR(VLOOKUP($D363,ProductMaster!$A:$O,4,FALSE),"")</f>
        <v/>
      </c>
      <c r="H363" s="90"/>
      <c r="I363" s="123">
        <f>IFERROR(VLOOKUP(E363,ProductMaster!B:G,6,FALSE),0)</f>
        <v>0</v>
      </c>
      <c r="J363" s="123">
        <f t="shared" si="37"/>
        <v>0</v>
      </c>
      <c r="K363" s="123">
        <f t="shared" si="38"/>
        <v>0</v>
      </c>
      <c r="L363" s="91"/>
      <c r="M363" s="92"/>
      <c r="N363" s="92"/>
      <c r="O363" s="93">
        <v>0</v>
      </c>
      <c r="P363" s="86"/>
      <c r="Q363" s="82">
        <f t="shared" si="36"/>
        <v>174</v>
      </c>
    </row>
    <row r="364" spans="1:17" ht="20.25" customHeight="1">
      <c r="A364" s="85"/>
      <c r="B364" s="102"/>
      <c r="C364" s="86"/>
      <c r="D364" s="87"/>
      <c r="E364" s="88" t="str">
        <f>IFERROR(VLOOKUP(D364,ProductMaster!$A:$B,2,FALSE),"")</f>
        <v/>
      </c>
      <c r="F364" s="88" t="str">
        <f>IFERROR(VLOOKUP(D364,ProductMaster!$A:$C,3,FALSE),"")</f>
        <v/>
      </c>
      <c r="G364" s="89" t="str">
        <f>IFERROR(VLOOKUP($D364,ProductMaster!$A:$O,4,FALSE),"")</f>
        <v/>
      </c>
      <c r="H364" s="90"/>
      <c r="I364" s="123">
        <f>IFERROR(VLOOKUP(E364,ProductMaster!B:G,6,FALSE),0)</f>
        <v>0</v>
      </c>
      <c r="J364" s="123">
        <f t="shared" si="37"/>
        <v>0</v>
      </c>
      <c r="K364" s="123">
        <f t="shared" si="38"/>
        <v>0</v>
      </c>
      <c r="L364" s="91"/>
      <c r="M364" s="92"/>
      <c r="N364" s="92"/>
      <c r="O364" s="93">
        <v>0</v>
      </c>
      <c r="P364" s="86"/>
      <c r="Q364" s="82">
        <f t="shared" si="36"/>
        <v>175</v>
      </c>
    </row>
    <row r="365" spans="1:17" ht="20.25" customHeight="1">
      <c r="A365" s="85"/>
      <c r="B365" s="102"/>
      <c r="C365" s="86"/>
      <c r="D365" s="87"/>
      <c r="E365" s="88" t="str">
        <f>IFERROR(VLOOKUP(D365,ProductMaster!$A:$B,2,FALSE),"")</f>
        <v/>
      </c>
      <c r="F365" s="88" t="str">
        <f>IFERROR(VLOOKUP(D365,ProductMaster!$A:$C,3,FALSE),"")</f>
        <v/>
      </c>
      <c r="G365" s="89" t="str">
        <f>IFERROR(VLOOKUP($D365,ProductMaster!$A:$O,4,FALSE),"")</f>
        <v/>
      </c>
      <c r="H365" s="90"/>
      <c r="I365" s="123">
        <f>IFERROR(VLOOKUP(E365,ProductMaster!B:G,6,FALSE),0)</f>
        <v>0</v>
      </c>
      <c r="J365" s="123">
        <f t="shared" si="37"/>
        <v>0</v>
      </c>
      <c r="K365" s="123">
        <f t="shared" si="38"/>
        <v>0</v>
      </c>
      <c r="L365" s="91"/>
      <c r="M365" s="92"/>
      <c r="N365" s="92"/>
      <c r="O365" s="93">
        <v>0</v>
      </c>
      <c r="P365" s="86"/>
      <c r="Q365" s="82">
        <f t="shared" si="36"/>
        <v>176</v>
      </c>
    </row>
    <row r="366" spans="1:17" ht="20.25" customHeight="1">
      <c r="A366" s="85"/>
      <c r="B366" s="102"/>
      <c r="C366" s="86"/>
      <c r="D366" s="87"/>
      <c r="E366" s="88" t="str">
        <f>IFERROR(VLOOKUP(D366,ProductMaster!$A:$B,2,FALSE),"")</f>
        <v/>
      </c>
      <c r="F366" s="88" t="str">
        <f>IFERROR(VLOOKUP(D366,ProductMaster!$A:$C,3,FALSE),"")</f>
        <v/>
      </c>
      <c r="G366" s="89" t="str">
        <f>IFERROR(VLOOKUP($D366,ProductMaster!$A:$O,4,FALSE),"")</f>
        <v/>
      </c>
      <c r="H366" s="90"/>
      <c r="I366" s="123">
        <f>IFERROR(VLOOKUP(E366,ProductMaster!B:G,6,FALSE),0)</f>
        <v>0</v>
      </c>
      <c r="J366" s="123">
        <f t="shared" si="37"/>
        <v>0</v>
      </c>
      <c r="K366" s="123">
        <f t="shared" si="38"/>
        <v>0</v>
      </c>
      <c r="L366" s="91"/>
      <c r="M366" s="92"/>
      <c r="N366" s="92"/>
      <c r="O366" s="93">
        <v>0</v>
      </c>
      <c r="P366" s="86"/>
      <c r="Q366" s="82">
        <f t="shared" si="36"/>
        <v>177</v>
      </c>
    </row>
    <row r="367" spans="1:17" ht="20.25" customHeight="1">
      <c r="A367" s="85"/>
      <c r="B367" s="102"/>
      <c r="C367" s="86"/>
      <c r="D367" s="87"/>
      <c r="E367" s="88" t="str">
        <f>IFERROR(VLOOKUP(D367,ProductMaster!$A:$B,2,FALSE),"")</f>
        <v/>
      </c>
      <c r="F367" s="88" t="str">
        <f>IFERROR(VLOOKUP(D367,ProductMaster!$A:$C,3,FALSE),"")</f>
        <v/>
      </c>
      <c r="G367" s="89" t="str">
        <f>IFERROR(VLOOKUP($D367,ProductMaster!$A:$O,4,FALSE),"")</f>
        <v/>
      </c>
      <c r="H367" s="90"/>
      <c r="I367" s="123">
        <f>IFERROR(VLOOKUP(E367,ProductMaster!B:G,6,FALSE),0)</f>
        <v>0</v>
      </c>
      <c r="J367" s="123">
        <f t="shared" si="37"/>
        <v>0</v>
      </c>
      <c r="K367" s="123">
        <f t="shared" si="38"/>
        <v>0</v>
      </c>
      <c r="L367" s="91"/>
      <c r="M367" s="92"/>
      <c r="N367" s="92"/>
      <c r="O367" s="93">
        <v>0</v>
      </c>
      <c r="P367" s="86"/>
      <c r="Q367" s="82">
        <f t="shared" si="36"/>
        <v>178</v>
      </c>
    </row>
    <row r="368" spans="1:17" ht="20.25" customHeight="1">
      <c r="A368" s="85"/>
      <c r="B368" s="102"/>
      <c r="C368" s="86"/>
      <c r="D368" s="87"/>
      <c r="E368" s="88" t="str">
        <f>IFERROR(VLOOKUP(D368,ProductMaster!$A:$B,2,FALSE),"")</f>
        <v/>
      </c>
      <c r="F368" s="88" t="str">
        <f>IFERROR(VLOOKUP(D368,ProductMaster!$A:$C,3,FALSE),"")</f>
        <v/>
      </c>
      <c r="G368" s="89" t="str">
        <f>IFERROR(VLOOKUP($D368,ProductMaster!$A:$O,4,FALSE),"")</f>
        <v/>
      </c>
      <c r="H368" s="90"/>
      <c r="I368" s="123">
        <f>IFERROR(VLOOKUP(E368,ProductMaster!B:G,6,FALSE),0)</f>
        <v>0</v>
      </c>
      <c r="J368" s="123">
        <f t="shared" si="37"/>
        <v>0</v>
      </c>
      <c r="K368" s="123">
        <f t="shared" si="38"/>
        <v>0</v>
      </c>
      <c r="L368" s="91"/>
      <c r="M368" s="92"/>
      <c r="N368" s="92"/>
      <c r="O368" s="93">
        <v>0</v>
      </c>
      <c r="P368" s="86"/>
      <c r="Q368" s="82">
        <f t="shared" si="36"/>
        <v>179</v>
      </c>
    </row>
    <row r="369" spans="1:17" ht="20.25" customHeight="1">
      <c r="A369" s="85"/>
      <c r="B369" s="102"/>
      <c r="C369" s="86"/>
      <c r="D369" s="87"/>
      <c r="E369" s="88" t="str">
        <f>IFERROR(VLOOKUP(D369,ProductMaster!$A:$B,2,FALSE),"")</f>
        <v/>
      </c>
      <c r="F369" s="88" t="str">
        <f>IFERROR(VLOOKUP(D369,ProductMaster!$A:$C,3,FALSE),"")</f>
        <v/>
      </c>
      <c r="G369" s="89" t="str">
        <f>IFERROR(VLOOKUP($D369,ProductMaster!$A:$O,4,FALSE),"")</f>
        <v/>
      </c>
      <c r="H369" s="90"/>
      <c r="I369" s="123">
        <f>IFERROR(VLOOKUP(E369,ProductMaster!B:G,6,FALSE),0)</f>
        <v>0</v>
      </c>
      <c r="J369" s="123">
        <f t="shared" si="37"/>
        <v>0</v>
      </c>
      <c r="K369" s="123">
        <f t="shared" si="38"/>
        <v>0</v>
      </c>
      <c r="L369" s="91"/>
      <c r="M369" s="92"/>
      <c r="N369" s="92"/>
      <c r="O369" s="93">
        <v>0</v>
      </c>
      <c r="P369" s="86"/>
      <c r="Q369" s="82">
        <f t="shared" si="36"/>
        <v>180</v>
      </c>
    </row>
    <row r="370" spans="1:17" ht="20.25" customHeight="1">
      <c r="A370" s="85"/>
      <c r="B370" s="102"/>
      <c r="C370" s="86"/>
      <c r="D370" s="87"/>
      <c r="E370" s="88" t="str">
        <f>IFERROR(VLOOKUP(D370,ProductMaster!$A:$B,2,FALSE),"")</f>
        <v/>
      </c>
      <c r="F370" s="88" t="str">
        <f>IFERROR(VLOOKUP(D370,ProductMaster!$A:$C,3,FALSE),"")</f>
        <v/>
      </c>
      <c r="G370" s="89" t="str">
        <f>IFERROR(VLOOKUP($D370,ProductMaster!$A:$O,4,FALSE),"")</f>
        <v/>
      </c>
      <c r="H370" s="90"/>
      <c r="I370" s="123">
        <f>IFERROR(VLOOKUP(E370,ProductMaster!B:G,6,FALSE),0)</f>
        <v>0</v>
      </c>
      <c r="J370" s="123">
        <f t="shared" si="37"/>
        <v>0</v>
      </c>
      <c r="K370" s="123">
        <f t="shared" si="38"/>
        <v>0</v>
      </c>
      <c r="L370" s="91"/>
      <c r="M370" s="92"/>
      <c r="N370" s="92"/>
      <c r="O370" s="93">
        <v>0</v>
      </c>
      <c r="P370" s="86"/>
      <c r="Q370" s="82">
        <f t="shared" si="36"/>
        <v>181</v>
      </c>
    </row>
    <row r="371" spans="1:17" ht="20.25" customHeight="1">
      <c r="A371" s="85"/>
      <c r="B371" s="102"/>
      <c r="C371" s="86"/>
      <c r="D371" s="87"/>
      <c r="E371" s="88" t="str">
        <f>IFERROR(VLOOKUP(D371,ProductMaster!$A:$B,2,FALSE),"")</f>
        <v/>
      </c>
      <c r="F371" s="88" t="str">
        <f>IFERROR(VLOOKUP(D371,ProductMaster!$A:$C,3,FALSE),"")</f>
        <v/>
      </c>
      <c r="G371" s="89" t="str">
        <f>IFERROR(VLOOKUP($D371,ProductMaster!$A:$O,4,FALSE),"")</f>
        <v/>
      </c>
      <c r="H371" s="90"/>
      <c r="I371" s="123">
        <f>IFERROR(VLOOKUP(E371,ProductMaster!B:G,6,FALSE),0)</f>
        <v>0</v>
      </c>
      <c r="J371" s="123">
        <f t="shared" si="37"/>
        <v>0</v>
      </c>
      <c r="K371" s="123">
        <f t="shared" si="38"/>
        <v>0</v>
      </c>
      <c r="L371" s="91"/>
      <c r="M371" s="92"/>
      <c r="N371" s="92"/>
      <c r="O371" s="93">
        <v>0</v>
      </c>
      <c r="P371" s="86"/>
      <c r="Q371" s="82">
        <f t="shared" si="36"/>
        <v>182</v>
      </c>
    </row>
    <row r="372" spans="1:17" ht="20.25" customHeight="1">
      <c r="A372" s="85"/>
      <c r="B372" s="102"/>
      <c r="C372" s="86"/>
      <c r="D372" s="87"/>
      <c r="E372" s="88" t="str">
        <f>IFERROR(VLOOKUP(D372,ProductMaster!$A:$B,2,FALSE),"")</f>
        <v/>
      </c>
      <c r="F372" s="88" t="str">
        <f>IFERROR(VLOOKUP(D372,ProductMaster!$A:$C,3,FALSE),"")</f>
        <v/>
      </c>
      <c r="G372" s="89" t="str">
        <f>IFERROR(VLOOKUP($D372,ProductMaster!$A:$O,4,FALSE),"")</f>
        <v/>
      </c>
      <c r="H372" s="90"/>
      <c r="I372" s="123">
        <f>IFERROR(VLOOKUP(E372,ProductMaster!B:G,6,FALSE),0)</f>
        <v>0</v>
      </c>
      <c r="J372" s="123">
        <f t="shared" si="37"/>
        <v>0</v>
      </c>
      <c r="K372" s="123">
        <f t="shared" si="38"/>
        <v>0</v>
      </c>
      <c r="L372" s="91"/>
      <c r="M372" s="92"/>
      <c r="N372" s="92"/>
      <c r="O372" s="93">
        <v>0</v>
      </c>
      <c r="P372" s="86"/>
      <c r="Q372" s="82">
        <f t="shared" si="36"/>
        <v>183</v>
      </c>
    </row>
    <row r="373" spans="1:17" ht="20.25" customHeight="1">
      <c r="A373" s="85"/>
      <c r="B373" s="102"/>
      <c r="C373" s="86"/>
      <c r="D373" s="87"/>
      <c r="E373" s="88" t="str">
        <f>IFERROR(VLOOKUP(D373,ProductMaster!$A:$B,2,FALSE),"")</f>
        <v/>
      </c>
      <c r="F373" s="88" t="str">
        <f>IFERROR(VLOOKUP(D373,ProductMaster!$A:$C,3,FALSE),"")</f>
        <v/>
      </c>
      <c r="G373" s="89" t="str">
        <f>IFERROR(VLOOKUP($D373,ProductMaster!$A:$O,4,FALSE),"")</f>
        <v/>
      </c>
      <c r="H373" s="90"/>
      <c r="I373" s="123">
        <f>IFERROR(VLOOKUP(E373,ProductMaster!B:G,6,FALSE),0)</f>
        <v>0</v>
      </c>
      <c r="J373" s="123">
        <f t="shared" si="37"/>
        <v>0</v>
      </c>
      <c r="K373" s="123">
        <f t="shared" si="38"/>
        <v>0</v>
      </c>
      <c r="L373" s="91"/>
      <c r="M373" s="92"/>
      <c r="N373" s="92"/>
      <c r="O373" s="93">
        <v>0</v>
      </c>
      <c r="P373" s="86"/>
      <c r="Q373" s="82">
        <f t="shared" si="36"/>
        <v>184</v>
      </c>
    </row>
    <row r="374" spans="1:17" ht="20.25" customHeight="1">
      <c r="A374" s="85"/>
      <c r="B374" s="102"/>
      <c r="C374" s="86"/>
      <c r="D374" s="87"/>
      <c r="E374" s="88" t="str">
        <f>IFERROR(VLOOKUP(D374,ProductMaster!$A:$B,2,FALSE),"")</f>
        <v/>
      </c>
      <c r="F374" s="88" t="str">
        <f>IFERROR(VLOOKUP(D374,ProductMaster!$A:$C,3,FALSE),"")</f>
        <v/>
      </c>
      <c r="G374" s="89" t="str">
        <f>IFERROR(VLOOKUP($D374,ProductMaster!$A:$O,4,FALSE),"")</f>
        <v/>
      </c>
      <c r="H374" s="90"/>
      <c r="I374" s="123">
        <f>IFERROR(VLOOKUP(E374,ProductMaster!B:G,6,FALSE),0)</f>
        <v>0</v>
      </c>
      <c r="J374" s="123">
        <f t="shared" si="37"/>
        <v>0</v>
      </c>
      <c r="K374" s="123">
        <f t="shared" si="38"/>
        <v>0</v>
      </c>
      <c r="L374" s="91"/>
      <c r="M374" s="92"/>
      <c r="N374" s="92"/>
      <c r="O374" s="93">
        <v>0</v>
      </c>
      <c r="P374" s="86"/>
      <c r="Q374" s="82">
        <f t="shared" si="36"/>
        <v>185</v>
      </c>
    </row>
    <row r="375" spans="1:17" ht="20.25" customHeight="1">
      <c r="A375" s="85"/>
      <c r="B375" s="102"/>
      <c r="C375" s="86"/>
      <c r="D375" s="87"/>
      <c r="E375" s="88" t="str">
        <f>IFERROR(VLOOKUP(D375,ProductMaster!$A:$B,2,FALSE),"")</f>
        <v/>
      </c>
      <c r="F375" s="88" t="str">
        <f>IFERROR(VLOOKUP(D375,ProductMaster!$A:$C,3,FALSE),"")</f>
        <v/>
      </c>
      <c r="G375" s="89" t="str">
        <f>IFERROR(VLOOKUP($D375,ProductMaster!$A:$O,4,FALSE),"")</f>
        <v/>
      </c>
      <c r="H375" s="90"/>
      <c r="I375" s="123">
        <f>IFERROR(VLOOKUP(E375,ProductMaster!B:G,6,FALSE),0)</f>
        <v>0</v>
      </c>
      <c r="J375" s="123">
        <f t="shared" si="37"/>
        <v>0</v>
      </c>
      <c r="K375" s="123">
        <f t="shared" si="38"/>
        <v>0</v>
      </c>
      <c r="L375" s="91"/>
      <c r="M375" s="92"/>
      <c r="N375" s="92"/>
      <c r="O375" s="93">
        <v>0</v>
      </c>
      <c r="P375" s="86"/>
      <c r="Q375" s="82">
        <f t="shared" si="36"/>
        <v>186</v>
      </c>
    </row>
    <row r="376" spans="1:17" ht="20.25" customHeight="1">
      <c r="A376" s="85"/>
      <c r="B376" s="102"/>
      <c r="C376" s="86"/>
      <c r="D376" s="87"/>
      <c r="E376" s="88" t="str">
        <f>IFERROR(VLOOKUP(D376,ProductMaster!$A:$B,2,FALSE),"")</f>
        <v/>
      </c>
      <c r="F376" s="88" t="str">
        <f>IFERROR(VLOOKUP(D376,ProductMaster!$A:$C,3,FALSE),"")</f>
        <v/>
      </c>
      <c r="G376" s="89" t="str">
        <f>IFERROR(VLOOKUP($D376,ProductMaster!$A:$O,4,FALSE),"")</f>
        <v/>
      </c>
      <c r="H376" s="90"/>
      <c r="I376" s="123">
        <f>IFERROR(VLOOKUP(E376,ProductMaster!B:G,6,FALSE),0)</f>
        <v>0</v>
      </c>
      <c r="J376" s="123">
        <f t="shared" si="37"/>
        <v>0</v>
      </c>
      <c r="K376" s="123">
        <f t="shared" si="38"/>
        <v>0</v>
      </c>
      <c r="L376" s="91"/>
      <c r="M376" s="92"/>
      <c r="N376" s="92"/>
      <c r="O376" s="93">
        <v>0</v>
      </c>
      <c r="P376" s="86"/>
      <c r="Q376" s="82">
        <f t="shared" si="36"/>
        <v>187</v>
      </c>
    </row>
    <row r="377" spans="1:17" ht="20.25" customHeight="1">
      <c r="A377" s="85"/>
      <c r="B377" s="102"/>
      <c r="C377" s="86"/>
      <c r="D377" s="87"/>
      <c r="E377" s="88" t="str">
        <f>IFERROR(VLOOKUP(D377,ProductMaster!$A:$B,2,FALSE),"")</f>
        <v/>
      </c>
      <c r="F377" s="88" t="str">
        <f>IFERROR(VLOOKUP(D377,ProductMaster!$A:$C,3,FALSE),"")</f>
        <v/>
      </c>
      <c r="G377" s="89" t="str">
        <f>IFERROR(VLOOKUP($D377,ProductMaster!$A:$O,4,FALSE),"")</f>
        <v/>
      </c>
      <c r="H377" s="90"/>
      <c r="I377" s="123">
        <f>IFERROR(VLOOKUP(E377,ProductMaster!B:G,6,FALSE),0)</f>
        <v>0</v>
      </c>
      <c r="J377" s="123">
        <f t="shared" si="37"/>
        <v>0</v>
      </c>
      <c r="K377" s="123">
        <f t="shared" si="38"/>
        <v>0</v>
      </c>
      <c r="L377" s="91"/>
      <c r="M377" s="92"/>
      <c r="N377" s="92"/>
      <c r="O377" s="93">
        <v>0</v>
      </c>
      <c r="P377" s="86"/>
      <c r="Q377" s="82">
        <f t="shared" si="36"/>
        <v>188</v>
      </c>
    </row>
    <row r="378" spans="1:17" ht="20.25" customHeight="1">
      <c r="A378" s="85"/>
      <c r="B378" s="102"/>
      <c r="C378" s="86"/>
      <c r="D378" s="87"/>
      <c r="E378" s="88" t="str">
        <f>IFERROR(VLOOKUP(D378,ProductMaster!$A:$B,2,FALSE),"")</f>
        <v/>
      </c>
      <c r="F378" s="88" t="str">
        <f>IFERROR(VLOOKUP(D378,ProductMaster!$A:$C,3,FALSE),"")</f>
        <v/>
      </c>
      <c r="G378" s="89" t="str">
        <f>IFERROR(VLOOKUP($D378,ProductMaster!$A:$O,4,FALSE),"")</f>
        <v/>
      </c>
      <c r="H378" s="90"/>
      <c r="I378" s="123">
        <f>IFERROR(VLOOKUP(E378,ProductMaster!B:G,6,FALSE),0)</f>
        <v>0</v>
      </c>
      <c r="J378" s="123">
        <f t="shared" si="37"/>
        <v>0</v>
      </c>
      <c r="K378" s="123">
        <f t="shared" si="38"/>
        <v>0</v>
      </c>
      <c r="L378" s="91"/>
      <c r="M378" s="92"/>
      <c r="N378" s="92"/>
      <c r="O378" s="93">
        <v>0</v>
      </c>
      <c r="P378" s="86"/>
      <c r="Q378" s="82">
        <f t="shared" si="36"/>
        <v>189</v>
      </c>
    </row>
    <row r="379" spans="1:17" ht="20.25" customHeight="1">
      <c r="A379" s="85"/>
      <c r="B379" s="102"/>
      <c r="C379" s="86"/>
      <c r="D379" s="87"/>
      <c r="E379" s="88" t="str">
        <f>IFERROR(VLOOKUP(D379,ProductMaster!$A:$B,2,FALSE),"")</f>
        <v/>
      </c>
      <c r="F379" s="88" t="str">
        <f>IFERROR(VLOOKUP(D379,ProductMaster!$A:$C,3,FALSE),"")</f>
        <v/>
      </c>
      <c r="G379" s="89" t="str">
        <f>IFERROR(VLOOKUP($D379,ProductMaster!$A:$O,4,FALSE),"")</f>
        <v/>
      </c>
      <c r="H379" s="90"/>
      <c r="I379" s="123">
        <f>IFERROR(VLOOKUP(E379,ProductMaster!B:G,6,FALSE),0)</f>
        <v>0</v>
      </c>
      <c r="J379" s="123">
        <f t="shared" si="37"/>
        <v>0</v>
      </c>
      <c r="K379" s="123">
        <f t="shared" si="38"/>
        <v>0</v>
      </c>
      <c r="L379" s="91"/>
      <c r="M379" s="92"/>
      <c r="N379" s="92"/>
      <c r="O379" s="93">
        <v>0</v>
      </c>
      <c r="P379" s="86"/>
      <c r="Q379" s="82">
        <f t="shared" si="36"/>
        <v>190</v>
      </c>
    </row>
    <row r="380" spans="1:17" ht="20.25" customHeight="1">
      <c r="A380" s="85"/>
      <c r="B380" s="102"/>
      <c r="C380" s="86"/>
      <c r="D380" s="87"/>
      <c r="E380" s="88" t="str">
        <f>IFERROR(VLOOKUP(D380,ProductMaster!$A:$B,2,FALSE),"")</f>
        <v/>
      </c>
      <c r="F380" s="88" t="str">
        <f>IFERROR(VLOOKUP(D380,ProductMaster!$A:$C,3,FALSE),"")</f>
        <v/>
      </c>
      <c r="G380" s="89" t="str">
        <f>IFERROR(VLOOKUP($D380,ProductMaster!$A:$O,4,FALSE),"")</f>
        <v/>
      </c>
      <c r="H380" s="90"/>
      <c r="I380" s="123">
        <f>IFERROR(VLOOKUP(E380,ProductMaster!B:G,6,FALSE),0)</f>
        <v>0</v>
      </c>
      <c r="J380" s="123">
        <f t="shared" si="37"/>
        <v>0</v>
      </c>
      <c r="K380" s="123">
        <f t="shared" si="38"/>
        <v>0</v>
      </c>
      <c r="L380" s="91"/>
      <c r="M380" s="92"/>
      <c r="N380" s="92"/>
      <c r="O380" s="93">
        <v>0</v>
      </c>
      <c r="P380" s="86"/>
      <c r="Q380" s="82">
        <f t="shared" si="36"/>
        <v>191</v>
      </c>
    </row>
    <row r="381" spans="1:17" ht="20.25" customHeight="1">
      <c r="A381" s="85"/>
      <c r="B381" s="102"/>
      <c r="C381" s="86"/>
      <c r="D381" s="87"/>
      <c r="E381" s="88" t="str">
        <f>IFERROR(VLOOKUP(D381,ProductMaster!$A:$B,2,FALSE),"")</f>
        <v/>
      </c>
      <c r="F381" s="88" t="str">
        <f>IFERROR(VLOOKUP(D381,ProductMaster!$A:$C,3,FALSE),"")</f>
        <v/>
      </c>
      <c r="G381" s="89" t="str">
        <f>IFERROR(VLOOKUP($D381,ProductMaster!$A:$O,4,FALSE),"")</f>
        <v/>
      </c>
      <c r="H381" s="90"/>
      <c r="I381" s="123">
        <f>IFERROR(VLOOKUP(E381,ProductMaster!B:G,6,FALSE),0)</f>
        <v>0</v>
      </c>
      <c r="J381" s="123">
        <f t="shared" si="37"/>
        <v>0</v>
      </c>
      <c r="K381" s="123">
        <f t="shared" si="38"/>
        <v>0</v>
      </c>
      <c r="L381" s="91"/>
      <c r="M381" s="92"/>
      <c r="N381" s="92"/>
      <c r="O381" s="93">
        <v>0</v>
      </c>
      <c r="P381" s="86"/>
      <c r="Q381" s="82">
        <f t="shared" si="36"/>
        <v>192</v>
      </c>
    </row>
    <row r="382" spans="1:17" ht="20.25" customHeight="1">
      <c r="A382" s="85"/>
      <c r="B382" s="102"/>
      <c r="C382" s="86"/>
      <c r="D382" s="87"/>
      <c r="E382" s="88" t="str">
        <f>IFERROR(VLOOKUP(D382,ProductMaster!$A:$B,2,FALSE),"")</f>
        <v/>
      </c>
      <c r="F382" s="88" t="str">
        <f>IFERROR(VLOOKUP(D382,ProductMaster!$A:$C,3,FALSE),"")</f>
        <v/>
      </c>
      <c r="G382" s="89" t="str">
        <f>IFERROR(VLOOKUP($D382,ProductMaster!$A:$O,4,FALSE),"")</f>
        <v/>
      </c>
      <c r="H382" s="90"/>
      <c r="I382" s="123">
        <f>IFERROR(VLOOKUP(E382,ProductMaster!B:G,6,FALSE),0)</f>
        <v>0</v>
      </c>
      <c r="J382" s="123">
        <f t="shared" si="37"/>
        <v>0</v>
      </c>
      <c r="K382" s="123">
        <f t="shared" si="38"/>
        <v>0</v>
      </c>
      <c r="L382" s="91"/>
      <c r="M382" s="92"/>
      <c r="N382" s="92"/>
      <c r="O382" s="93">
        <v>0</v>
      </c>
      <c r="P382" s="86"/>
      <c r="Q382" s="82">
        <f t="shared" si="36"/>
        <v>193</v>
      </c>
    </row>
    <row r="383" spans="1:17" ht="20.25" customHeight="1">
      <c r="A383" s="85"/>
      <c r="B383" s="102"/>
      <c r="C383" s="86"/>
      <c r="D383" s="87"/>
      <c r="E383" s="88" t="str">
        <f>IFERROR(VLOOKUP(D383,ProductMaster!$A:$B,2,FALSE),"")</f>
        <v/>
      </c>
      <c r="F383" s="88" t="str">
        <f>IFERROR(VLOOKUP(D383,ProductMaster!$A:$C,3,FALSE),"")</f>
        <v/>
      </c>
      <c r="G383" s="89" t="str">
        <f>IFERROR(VLOOKUP($D383,ProductMaster!$A:$O,4,FALSE),"")</f>
        <v/>
      </c>
      <c r="H383" s="90"/>
      <c r="I383" s="123">
        <f>IFERROR(VLOOKUP(E383,ProductMaster!B:G,6,FALSE),0)</f>
        <v>0</v>
      </c>
      <c r="J383" s="123">
        <f t="shared" si="37"/>
        <v>0</v>
      </c>
      <c r="K383" s="123">
        <f t="shared" si="38"/>
        <v>0</v>
      </c>
      <c r="L383" s="91"/>
      <c r="M383" s="92"/>
      <c r="N383" s="92"/>
      <c r="O383" s="93">
        <v>0</v>
      </c>
      <c r="P383" s="86"/>
      <c r="Q383" s="82">
        <f t="shared" si="36"/>
        <v>194</v>
      </c>
    </row>
    <row r="384" spans="1:17" ht="20.25" customHeight="1">
      <c r="A384" s="85"/>
      <c r="B384" s="102"/>
      <c r="C384" s="86"/>
      <c r="D384" s="87"/>
      <c r="E384" s="88" t="str">
        <f>IFERROR(VLOOKUP(D384,ProductMaster!$A:$B,2,FALSE),"")</f>
        <v/>
      </c>
      <c r="F384" s="88" t="str">
        <f>IFERROR(VLOOKUP(D384,ProductMaster!$A:$C,3,FALSE),"")</f>
        <v/>
      </c>
      <c r="G384" s="89" t="str">
        <f>IFERROR(VLOOKUP($D384,ProductMaster!$A:$O,4,FALSE),"")</f>
        <v/>
      </c>
      <c r="H384" s="90"/>
      <c r="I384" s="123">
        <f>IFERROR(VLOOKUP(E384,ProductMaster!B:G,6,FALSE),0)</f>
        <v>0</v>
      </c>
      <c r="J384" s="123">
        <f t="shared" si="37"/>
        <v>0</v>
      </c>
      <c r="K384" s="123">
        <f t="shared" si="38"/>
        <v>0</v>
      </c>
      <c r="L384" s="91"/>
      <c r="M384" s="92"/>
      <c r="N384" s="92"/>
      <c r="O384" s="93">
        <v>0</v>
      </c>
      <c r="P384" s="86"/>
      <c r="Q384" s="82">
        <f t="shared" si="36"/>
        <v>195</v>
      </c>
    </row>
    <row r="385" spans="1:17" ht="20.25" customHeight="1">
      <c r="A385" s="85"/>
      <c r="B385" s="102"/>
      <c r="C385" s="86"/>
      <c r="D385" s="87"/>
      <c r="E385" s="88" t="str">
        <f>IFERROR(VLOOKUP(D385,ProductMaster!$A:$B,2,FALSE),"")</f>
        <v/>
      </c>
      <c r="F385" s="88" t="str">
        <f>IFERROR(VLOOKUP(D385,ProductMaster!$A:$C,3,FALSE),"")</f>
        <v/>
      </c>
      <c r="G385" s="89" t="str">
        <f>IFERROR(VLOOKUP($D385,ProductMaster!$A:$O,4,FALSE),"")</f>
        <v/>
      </c>
      <c r="H385" s="90"/>
      <c r="I385" s="123">
        <f>IFERROR(VLOOKUP(E385,ProductMaster!B:G,6,FALSE),0)</f>
        <v>0</v>
      </c>
      <c r="J385" s="123">
        <f t="shared" si="37"/>
        <v>0</v>
      </c>
      <c r="K385" s="123">
        <f t="shared" si="38"/>
        <v>0</v>
      </c>
      <c r="L385" s="91"/>
      <c r="M385" s="92"/>
      <c r="N385" s="92"/>
      <c r="O385" s="93">
        <v>0</v>
      </c>
      <c r="P385" s="86"/>
      <c r="Q385" s="82">
        <f t="shared" si="36"/>
        <v>196</v>
      </c>
    </row>
    <row r="386" spans="1:17" ht="20.25" customHeight="1">
      <c r="A386" s="85"/>
      <c r="B386" s="102"/>
      <c r="C386" s="86"/>
      <c r="D386" s="87"/>
      <c r="E386" s="88" t="str">
        <f>IFERROR(VLOOKUP(D386,ProductMaster!$A:$B,2,FALSE),"")</f>
        <v/>
      </c>
      <c r="F386" s="88" t="str">
        <f>IFERROR(VLOOKUP(D386,ProductMaster!$A:$C,3,FALSE),"")</f>
        <v/>
      </c>
      <c r="G386" s="89" t="str">
        <f>IFERROR(VLOOKUP($D386,ProductMaster!$A:$O,4,FALSE),"")</f>
        <v/>
      </c>
      <c r="H386" s="90"/>
      <c r="I386" s="123">
        <f>IFERROR(VLOOKUP(E386,ProductMaster!B:G,6,FALSE),0)</f>
        <v>0</v>
      </c>
      <c r="J386" s="123">
        <f t="shared" ref="J386:J449" si="39">ROUND(SUM(I386*7%),2)</f>
        <v>0</v>
      </c>
      <c r="K386" s="123">
        <f t="shared" ref="K386:K449" si="40">ROUND(SUM(H386*I386),2)</f>
        <v>0</v>
      </c>
      <c r="L386" s="91"/>
      <c r="M386" s="92"/>
      <c r="N386" s="92"/>
      <c r="O386" s="93">
        <v>0</v>
      </c>
      <c r="P386" s="86"/>
      <c r="Q386" s="82">
        <f t="shared" ref="Q386:Q449" si="41">IF(B386=B385,Q385+1,1)</f>
        <v>197</v>
      </c>
    </row>
    <row r="387" spans="1:17" ht="20.25" customHeight="1">
      <c r="A387" s="85"/>
      <c r="B387" s="102"/>
      <c r="C387" s="86"/>
      <c r="D387" s="87"/>
      <c r="E387" s="88" t="str">
        <f>IFERROR(VLOOKUP(D387,ProductMaster!$A:$B,2,FALSE),"")</f>
        <v/>
      </c>
      <c r="F387" s="88" t="str">
        <f>IFERROR(VLOOKUP(D387,ProductMaster!$A:$C,3,FALSE),"")</f>
        <v/>
      </c>
      <c r="G387" s="89" t="str">
        <f>IFERROR(VLOOKUP($D387,ProductMaster!$A:$O,4,FALSE),"")</f>
        <v/>
      </c>
      <c r="H387" s="90"/>
      <c r="I387" s="123">
        <f>IFERROR(VLOOKUP(E387,ProductMaster!B:G,6,FALSE),0)</f>
        <v>0</v>
      </c>
      <c r="J387" s="123">
        <f t="shared" si="39"/>
        <v>0</v>
      </c>
      <c r="K387" s="123">
        <f t="shared" si="40"/>
        <v>0</v>
      </c>
      <c r="L387" s="91"/>
      <c r="M387" s="92"/>
      <c r="N387" s="92"/>
      <c r="O387" s="93">
        <v>0</v>
      </c>
      <c r="P387" s="86"/>
      <c r="Q387" s="82">
        <f t="shared" si="41"/>
        <v>198</v>
      </c>
    </row>
    <row r="388" spans="1:17" ht="20.25" customHeight="1">
      <c r="A388" s="85"/>
      <c r="B388" s="102"/>
      <c r="C388" s="86"/>
      <c r="D388" s="87"/>
      <c r="E388" s="88" t="str">
        <f>IFERROR(VLOOKUP(D388,ProductMaster!$A:$B,2,FALSE),"")</f>
        <v/>
      </c>
      <c r="F388" s="88" t="str">
        <f>IFERROR(VLOOKUP(D388,ProductMaster!$A:$C,3,FALSE),"")</f>
        <v/>
      </c>
      <c r="G388" s="89" t="str">
        <f>IFERROR(VLOOKUP($D388,ProductMaster!$A:$O,4,FALSE),"")</f>
        <v/>
      </c>
      <c r="H388" s="90"/>
      <c r="I388" s="123">
        <f>IFERROR(VLOOKUP(E388,ProductMaster!B:G,6,FALSE),0)</f>
        <v>0</v>
      </c>
      <c r="J388" s="123">
        <f t="shared" si="39"/>
        <v>0</v>
      </c>
      <c r="K388" s="123">
        <f t="shared" si="40"/>
        <v>0</v>
      </c>
      <c r="L388" s="91"/>
      <c r="M388" s="92"/>
      <c r="N388" s="92"/>
      <c r="O388" s="93">
        <v>0</v>
      </c>
      <c r="P388" s="86"/>
      <c r="Q388" s="82">
        <f t="shared" si="41"/>
        <v>199</v>
      </c>
    </row>
    <row r="389" spans="1:17" ht="20.25" customHeight="1">
      <c r="A389" s="85"/>
      <c r="B389" s="102"/>
      <c r="C389" s="86"/>
      <c r="D389" s="87"/>
      <c r="E389" s="88" t="str">
        <f>IFERROR(VLOOKUP(D389,ProductMaster!$A:$B,2,FALSE),"")</f>
        <v/>
      </c>
      <c r="F389" s="88" t="str">
        <f>IFERROR(VLOOKUP(D389,ProductMaster!$A:$C,3,FALSE),"")</f>
        <v/>
      </c>
      <c r="G389" s="89" t="str">
        <f>IFERROR(VLOOKUP($D389,ProductMaster!$A:$O,4,FALSE),"")</f>
        <v/>
      </c>
      <c r="H389" s="90"/>
      <c r="I389" s="123">
        <f>IFERROR(VLOOKUP(E389,ProductMaster!B:G,6,FALSE),0)</f>
        <v>0</v>
      </c>
      <c r="J389" s="123">
        <f t="shared" si="39"/>
        <v>0</v>
      </c>
      <c r="K389" s="123">
        <f t="shared" si="40"/>
        <v>0</v>
      </c>
      <c r="L389" s="91"/>
      <c r="M389" s="92"/>
      <c r="N389" s="92"/>
      <c r="O389" s="93">
        <v>0</v>
      </c>
      <c r="P389" s="86"/>
      <c r="Q389" s="82">
        <f t="shared" si="41"/>
        <v>200</v>
      </c>
    </row>
    <row r="390" spans="1:17" ht="20.25" customHeight="1">
      <c r="A390" s="85"/>
      <c r="B390" s="102"/>
      <c r="C390" s="86"/>
      <c r="D390" s="87"/>
      <c r="E390" s="88" t="str">
        <f>IFERROR(VLOOKUP(D390,ProductMaster!$A:$B,2,FALSE),"")</f>
        <v/>
      </c>
      <c r="F390" s="88" t="str">
        <f>IFERROR(VLOOKUP(D390,ProductMaster!$A:$C,3,FALSE),"")</f>
        <v/>
      </c>
      <c r="G390" s="89" t="str">
        <f>IFERROR(VLOOKUP($D390,ProductMaster!$A:$O,4,FALSE),"")</f>
        <v/>
      </c>
      <c r="H390" s="90"/>
      <c r="I390" s="123">
        <f>IFERROR(VLOOKUP(E390,ProductMaster!B:G,6,FALSE),0)</f>
        <v>0</v>
      </c>
      <c r="J390" s="123">
        <f t="shared" si="39"/>
        <v>0</v>
      </c>
      <c r="K390" s="123">
        <f t="shared" si="40"/>
        <v>0</v>
      </c>
      <c r="L390" s="91"/>
      <c r="M390" s="92"/>
      <c r="N390" s="92"/>
      <c r="O390" s="93">
        <v>0</v>
      </c>
      <c r="P390" s="86"/>
      <c r="Q390" s="82">
        <f t="shared" si="41"/>
        <v>201</v>
      </c>
    </row>
    <row r="391" spans="1:17" ht="20.25" customHeight="1">
      <c r="A391" s="85"/>
      <c r="B391" s="102"/>
      <c r="C391" s="86"/>
      <c r="D391" s="87"/>
      <c r="E391" s="88" t="str">
        <f>IFERROR(VLOOKUP(D391,ProductMaster!$A:$B,2,FALSE),"")</f>
        <v/>
      </c>
      <c r="F391" s="88" t="str">
        <f>IFERROR(VLOOKUP(D391,ProductMaster!$A:$C,3,FALSE),"")</f>
        <v/>
      </c>
      <c r="G391" s="89" t="str">
        <f>IFERROR(VLOOKUP($D391,ProductMaster!$A:$O,4,FALSE),"")</f>
        <v/>
      </c>
      <c r="H391" s="90"/>
      <c r="I391" s="123">
        <f>IFERROR(VLOOKUP(E391,ProductMaster!B:G,6,FALSE),0)</f>
        <v>0</v>
      </c>
      <c r="J391" s="123">
        <f t="shared" si="39"/>
        <v>0</v>
      </c>
      <c r="K391" s="123">
        <f t="shared" si="40"/>
        <v>0</v>
      </c>
      <c r="L391" s="91"/>
      <c r="M391" s="92"/>
      <c r="N391" s="92"/>
      <c r="O391" s="93">
        <v>0</v>
      </c>
      <c r="P391" s="86"/>
      <c r="Q391" s="82">
        <f t="shared" si="41"/>
        <v>202</v>
      </c>
    </row>
    <row r="392" spans="1:17" ht="20.25" customHeight="1">
      <c r="A392" s="85"/>
      <c r="B392" s="102"/>
      <c r="C392" s="86"/>
      <c r="D392" s="87"/>
      <c r="E392" s="88" t="str">
        <f>IFERROR(VLOOKUP(D392,ProductMaster!$A:$B,2,FALSE),"")</f>
        <v/>
      </c>
      <c r="F392" s="88" t="str">
        <f>IFERROR(VLOOKUP(D392,ProductMaster!$A:$C,3,FALSE),"")</f>
        <v/>
      </c>
      <c r="G392" s="89" t="str">
        <f>IFERROR(VLOOKUP($D392,ProductMaster!$A:$O,4,FALSE),"")</f>
        <v/>
      </c>
      <c r="H392" s="90"/>
      <c r="I392" s="123">
        <f>IFERROR(VLOOKUP(E392,ProductMaster!B:G,6,FALSE),0)</f>
        <v>0</v>
      </c>
      <c r="J392" s="123">
        <f t="shared" si="39"/>
        <v>0</v>
      </c>
      <c r="K392" s="123">
        <f t="shared" si="40"/>
        <v>0</v>
      </c>
      <c r="L392" s="91"/>
      <c r="M392" s="92"/>
      <c r="N392" s="92"/>
      <c r="O392" s="93">
        <v>0</v>
      </c>
      <c r="P392" s="86"/>
      <c r="Q392" s="82">
        <f t="shared" si="41"/>
        <v>203</v>
      </c>
    </row>
    <row r="393" spans="1:17" ht="20.25" customHeight="1">
      <c r="A393" s="85"/>
      <c r="B393" s="102"/>
      <c r="C393" s="86"/>
      <c r="D393" s="87"/>
      <c r="E393" s="88" t="str">
        <f>IFERROR(VLOOKUP(D393,ProductMaster!$A:$B,2,FALSE),"")</f>
        <v/>
      </c>
      <c r="F393" s="88" t="str">
        <f>IFERROR(VLOOKUP(D393,ProductMaster!$A:$C,3,FALSE),"")</f>
        <v/>
      </c>
      <c r="G393" s="89" t="str">
        <f>IFERROR(VLOOKUP($D393,ProductMaster!$A:$O,4,FALSE),"")</f>
        <v/>
      </c>
      <c r="H393" s="90"/>
      <c r="I393" s="123">
        <f>IFERROR(VLOOKUP(E393,ProductMaster!B:G,6,FALSE),0)</f>
        <v>0</v>
      </c>
      <c r="J393" s="123">
        <f t="shared" si="39"/>
        <v>0</v>
      </c>
      <c r="K393" s="123">
        <f t="shared" si="40"/>
        <v>0</v>
      </c>
      <c r="L393" s="91"/>
      <c r="M393" s="92"/>
      <c r="N393" s="92"/>
      <c r="O393" s="93">
        <v>0</v>
      </c>
      <c r="P393" s="86"/>
      <c r="Q393" s="82">
        <f t="shared" si="41"/>
        <v>204</v>
      </c>
    </row>
    <row r="394" spans="1:17" ht="20.25" customHeight="1">
      <c r="A394" s="85"/>
      <c r="B394" s="102"/>
      <c r="C394" s="86"/>
      <c r="D394" s="87"/>
      <c r="E394" s="88" t="str">
        <f>IFERROR(VLOOKUP(D394,ProductMaster!$A:$B,2,FALSE),"")</f>
        <v/>
      </c>
      <c r="F394" s="88" t="str">
        <f>IFERROR(VLOOKUP(D394,ProductMaster!$A:$C,3,FALSE),"")</f>
        <v/>
      </c>
      <c r="G394" s="89" t="str">
        <f>IFERROR(VLOOKUP($D394,ProductMaster!$A:$O,4,FALSE),"")</f>
        <v/>
      </c>
      <c r="H394" s="90"/>
      <c r="I394" s="123">
        <f>IFERROR(VLOOKUP(E394,ProductMaster!B:G,6,FALSE),0)</f>
        <v>0</v>
      </c>
      <c r="J394" s="123">
        <f t="shared" si="39"/>
        <v>0</v>
      </c>
      <c r="K394" s="123">
        <f t="shared" si="40"/>
        <v>0</v>
      </c>
      <c r="L394" s="91"/>
      <c r="M394" s="92"/>
      <c r="N394" s="92"/>
      <c r="O394" s="93">
        <v>0</v>
      </c>
      <c r="P394" s="86"/>
      <c r="Q394" s="82">
        <f t="shared" si="41"/>
        <v>205</v>
      </c>
    </row>
    <row r="395" spans="1:17" ht="20.25" customHeight="1">
      <c r="A395" s="85"/>
      <c r="B395" s="102"/>
      <c r="C395" s="86"/>
      <c r="D395" s="87"/>
      <c r="E395" s="88" t="str">
        <f>IFERROR(VLOOKUP(D395,ProductMaster!$A:$B,2,FALSE),"")</f>
        <v/>
      </c>
      <c r="F395" s="88" t="str">
        <f>IFERROR(VLOOKUP(D395,ProductMaster!$A:$C,3,FALSE),"")</f>
        <v/>
      </c>
      <c r="G395" s="89" t="str">
        <f>IFERROR(VLOOKUP($D395,ProductMaster!$A:$O,4,FALSE),"")</f>
        <v/>
      </c>
      <c r="H395" s="90"/>
      <c r="I395" s="123">
        <f>IFERROR(VLOOKUP(E395,ProductMaster!B:G,6,FALSE),0)</f>
        <v>0</v>
      </c>
      <c r="J395" s="123">
        <f t="shared" si="39"/>
        <v>0</v>
      </c>
      <c r="K395" s="123">
        <f t="shared" si="40"/>
        <v>0</v>
      </c>
      <c r="L395" s="91"/>
      <c r="M395" s="92"/>
      <c r="N395" s="92"/>
      <c r="O395" s="93">
        <v>0</v>
      </c>
      <c r="P395" s="86"/>
      <c r="Q395" s="82">
        <f t="shared" si="41"/>
        <v>206</v>
      </c>
    </row>
    <row r="396" spans="1:17" ht="20.25" customHeight="1">
      <c r="A396" s="85"/>
      <c r="B396" s="102"/>
      <c r="C396" s="86"/>
      <c r="D396" s="87"/>
      <c r="E396" s="88" t="str">
        <f>IFERROR(VLOOKUP(D396,ProductMaster!$A:$B,2,FALSE),"")</f>
        <v/>
      </c>
      <c r="F396" s="88" t="str">
        <f>IFERROR(VLOOKUP(D396,ProductMaster!$A:$C,3,FALSE),"")</f>
        <v/>
      </c>
      <c r="G396" s="89" t="str">
        <f>IFERROR(VLOOKUP($D396,ProductMaster!$A:$O,4,FALSE),"")</f>
        <v/>
      </c>
      <c r="H396" s="90"/>
      <c r="I396" s="123">
        <f>IFERROR(VLOOKUP(E396,ProductMaster!B:G,6,FALSE),0)</f>
        <v>0</v>
      </c>
      <c r="J396" s="123">
        <f t="shared" si="39"/>
        <v>0</v>
      </c>
      <c r="K396" s="123">
        <f t="shared" si="40"/>
        <v>0</v>
      </c>
      <c r="L396" s="91"/>
      <c r="M396" s="92"/>
      <c r="N396" s="92"/>
      <c r="O396" s="93">
        <v>0</v>
      </c>
      <c r="P396" s="86"/>
      <c r="Q396" s="82">
        <f t="shared" si="41"/>
        <v>207</v>
      </c>
    </row>
    <row r="397" spans="1:17" ht="20.25" customHeight="1">
      <c r="A397" s="85"/>
      <c r="B397" s="102"/>
      <c r="C397" s="86"/>
      <c r="D397" s="87"/>
      <c r="E397" s="88" t="str">
        <f>IFERROR(VLOOKUP(D397,ProductMaster!$A:$B,2,FALSE),"")</f>
        <v/>
      </c>
      <c r="F397" s="88" t="str">
        <f>IFERROR(VLOOKUP(D397,ProductMaster!$A:$C,3,FALSE),"")</f>
        <v/>
      </c>
      <c r="G397" s="89" t="str">
        <f>IFERROR(VLOOKUP($D397,ProductMaster!$A:$O,4,FALSE),"")</f>
        <v/>
      </c>
      <c r="H397" s="90"/>
      <c r="I397" s="123">
        <f>IFERROR(VLOOKUP(E397,ProductMaster!B:G,6,FALSE),0)</f>
        <v>0</v>
      </c>
      <c r="J397" s="123">
        <f t="shared" si="39"/>
        <v>0</v>
      </c>
      <c r="K397" s="123">
        <f t="shared" si="40"/>
        <v>0</v>
      </c>
      <c r="L397" s="91"/>
      <c r="M397" s="92"/>
      <c r="N397" s="92"/>
      <c r="O397" s="93">
        <v>0</v>
      </c>
      <c r="P397" s="86"/>
      <c r="Q397" s="82">
        <f t="shared" si="41"/>
        <v>208</v>
      </c>
    </row>
    <row r="398" spans="1:17" ht="20.25" customHeight="1">
      <c r="A398" s="85"/>
      <c r="B398" s="102"/>
      <c r="C398" s="86"/>
      <c r="D398" s="87"/>
      <c r="E398" s="88" t="str">
        <f>IFERROR(VLOOKUP(D398,ProductMaster!$A:$B,2,FALSE),"")</f>
        <v/>
      </c>
      <c r="F398" s="88" t="str">
        <f>IFERROR(VLOOKUP(D398,ProductMaster!$A:$C,3,FALSE),"")</f>
        <v/>
      </c>
      <c r="G398" s="89" t="str">
        <f>IFERROR(VLOOKUP($D398,ProductMaster!$A:$O,4,FALSE),"")</f>
        <v/>
      </c>
      <c r="H398" s="90"/>
      <c r="I398" s="123">
        <f>IFERROR(VLOOKUP(E398,ProductMaster!B:G,6,FALSE),0)</f>
        <v>0</v>
      </c>
      <c r="J398" s="123">
        <f t="shared" si="39"/>
        <v>0</v>
      </c>
      <c r="K398" s="123">
        <f t="shared" si="40"/>
        <v>0</v>
      </c>
      <c r="L398" s="91"/>
      <c r="M398" s="92"/>
      <c r="N398" s="92"/>
      <c r="O398" s="93">
        <v>0</v>
      </c>
      <c r="P398" s="86"/>
      <c r="Q398" s="82">
        <f t="shared" si="41"/>
        <v>209</v>
      </c>
    </row>
    <row r="399" spans="1:17" ht="20.25" customHeight="1">
      <c r="A399" s="85"/>
      <c r="B399" s="102"/>
      <c r="C399" s="86"/>
      <c r="D399" s="87"/>
      <c r="E399" s="88" t="str">
        <f>IFERROR(VLOOKUP(D399,ProductMaster!$A:$B,2,FALSE),"")</f>
        <v/>
      </c>
      <c r="F399" s="88" t="str">
        <f>IFERROR(VLOOKUP(D399,ProductMaster!$A:$C,3,FALSE),"")</f>
        <v/>
      </c>
      <c r="G399" s="89" t="str">
        <f>IFERROR(VLOOKUP($D399,ProductMaster!$A:$O,4,FALSE),"")</f>
        <v/>
      </c>
      <c r="H399" s="90"/>
      <c r="I399" s="123">
        <f>IFERROR(VLOOKUP(E399,ProductMaster!B:G,6,FALSE),0)</f>
        <v>0</v>
      </c>
      <c r="J399" s="123">
        <f t="shared" si="39"/>
        <v>0</v>
      </c>
      <c r="K399" s="123">
        <f t="shared" si="40"/>
        <v>0</v>
      </c>
      <c r="L399" s="91"/>
      <c r="M399" s="92"/>
      <c r="N399" s="92"/>
      <c r="O399" s="93">
        <v>0</v>
      </c>
      <c r="P399" s="86"/>
      <c r="Q399" s="82">
        <f t="shared" si="41"/>
        <v>210</v>
      </c>
    </row>
    <row r="400" spans="1:17" ht="20.25" customHeight="1">
      <c r="A400" s="85"/>
      <c r="B400" s="102"/>
      <c r="C400" s="86"/>
      <c r="D400" s="87"/>
      <c r="E400" s="88" t="str">
        <f>IFERROR(VLOOKUP(D400,ProductMaster!$A:$B,2,FALSE),"")</f>
        <v/>
      </c>
      <c r="F400" s="88" t="str">
        <f>IFERROR(VLOOKUP(D400,ProductMaster!$A:$C,3,FALSE),"")</f>
        <v/>
      </c>
      <c r="G400" s="89" t="str">
        <f>IFERROR(VLOOKUP($D400,ProductMaster!$A:$O,4,FALSE),"")</f>
        <v/>
      </c>
      <c r="H400" s="90"/>
      <c r="I400" s="123">
        <f>IFERROR(VLOOKUP(E400,ProductMaster!B:G,6,FALSE),0)</f>
        <v>0</v>
      </c>
      <c r="J400" s="123">
        <f t="shared" si="39"/>
        <v>0</v>
      </c>
      <c r="K400" s="123">
        <f t="shared" si="40"/>
        <v>0</v>
      </c>
      <c r="L400" s="91"/>
      <c r="M400" s="92"/>
      <c r="N400" s="92"/>
      <c r="O400" s="93">
        <v>0</v>
      </c>
      <c r="P400" s="86"/>
      <c r="Q400" s="82">
        <f t="shared" si="41"/>
        <v>211</v>
      </c>
    </row>
    <row r="401" spans="1:17" ht="20.25" customHeight="1">
      <c r="A401" s="85"/>
      <c r="B401" s="102"/>
      <c r="C401" s="86"/>
      <c r="D401" s="87"/>
      <c r="E401" s="88" t="str">
        <f>IFERROR(VLOOKUP(D401,ProductMaster!$A:$B,2,FALSE),"")</f>
        <v/>
      </c>
      <c r="F401" s="88" t="str">
        <f>IFERROR(VLOOKUP(D401,ProductMaster!$A:$C,3,FALSE),"")</f>
        <v/>
      </c>
      <c r="G401" s="89" t="str">
        <f>IFERROR(VLOOKUP($D401,ProductMaster!$A:$O,4,FALSE),"")</f>
        <v/>
      </c>
      <c r="H401" s="90"/>
      <c r="I401" s="123">
        <f>IFERROR(VLOOKUP(E401,ProductMaster!B:G,6,FALSE),0)</f>
        <v>0</v>
      </c>
      <c r="J401" s="123">
        <f t="shared" si="39"/>
        <v>0</v>
      </c>
      <c r="K401" s="123">
        <f t="shared" si="40"/>
        <v>0</v>
      </c>
      <c r="L401" s="91"/>
      <c r="M401" s="92"/>
      <c r="N401" s="92"/>
      <c r="O401" s="93">
        <v>0</v>
      </c>
      <c r="P401" s="86"/>
      <c r="Q401" s="82">
        <f t="shared" si="41"/>
        <v>212</v>
      </c>
    </row>
    <row r="402" spans="1:17" ht="20.25" customHeight="1">
      <c r="A402" s="85"/>
      <c r="B402" s="102"/>
      <c r="C402" s="86"/>
      <c r="D402" s="87"/>
      <c r="E402" s="88" t="str">
        <f>IFERROR(VLOOKUP(D402,ProductMaster!$A:$B,2,FALSE),"")</f>
        <v/>
      </c>
      <c r="F402" s="88" t="str">
        <f>IFERROR(VLOOKUP(D402,ProductMaster!$A:$C,3,FALSE),"")</f>
        <v/>
      </c>
      <c r="G402" s="89" t="str">
        <f>IFERROR(VLOOKUP($D402,ProductMaster!$A:$O,4,FALSE),"")</f>
        <v/>
      </c>
      <c r="H402" s="90"/>
      <c r="I402" s="123">
        <f>IFERROR(VLOOKUP(E402,ProductMaster!B:G,6,FALSE),0)</f>
        <v>0</v>
      </c>
      <c r="J402" s="123">
        <f t="shared" si="39"/>
        <v>0</v>
      </c>
      <c r="K402" s="123">
        <f t="shared" si="40"/>
        <v>0</v>
      </c>
      <c r="L402" s="91"/>
      <c r="M402" s="92"/>
      <c r="N402" s="92"/>
      <c r="O402" s="93">
        <v>0</v>
      </c>
      <c r="P402" s="86"/>
      <c r="Q402" s="82">
        <f t="shared" si="41"/>
        <v>213</v>
      </c>
    </row>
    <row r="403" spans="1:17" ht="20.25" customHeight="1">
      <c r="A403" s="85"/>
      <c r="B403" s="102"/>
      <c r="C403" s="86"/>
      <c r="D403" s="87"/>
      <c r="E403" s="88" t="str">
        <f>IFERROR(VLOOKUP(D403,ProductMaster!$A:$B,2,FALSE),"")</f>
        <v/>
      </c>
      <c r="F403" s="88" t="str">
        <f>IFERROR(VLOOKUP(D403,ProductMaster!$A:$C,3,FALSE),"")</f>
        <v/>
      </c>
      <c r="G403" s="89" t="str">
        <f>IFERROR(VLOOKUP($D403,ProductMaster!$A:$O,4,FALSE),"")</f>
        <v/>
      </c>
      <c r="H403" s="90"/>
      <c r="I403" s="123">
        <f>IFERROR(VLOOKUP(E403,ProductMaster!B:G,6,FALSE),0)</f>
        <v>0</v>
      </c>
      <c r="J403" s="123">
        <f t="shared" si="39"/>
        <v>0</v>
      </c>
      <c r="K403" s="123">
        <f t="shared" si="40"/>
        <v>0</v>
      </c>
      <c r="L403" s="91"/>
      <c r="M403" s="92"/>
      <c r="N403" s="92"/>
      <c r="O403" s="93">
        <v>0</v>
      </c>
      <c r="P403" s="86"/>
      <c r="Q403" s="82">
        <f t="shared" si="41"/>
        <v>214</v>
      </c>
    </row>
    <row r="404" spans="1:17" ht="20.25" customHeight="1">
      <c r="A404" s="85"/>
      <c r="B404" s="102"/>
      <c r="C404" s="86"/>
      <c r="D404" s="87"/>
      <c r="E404" s="88" t="str">
        <f>IFERROR(VLOOKUP(D404,ProductMaster!$A:$B,2,FALSE),"")</f>
        <v/>
      </c>
      <c r="F404" s="88" t="str">
        <f>IFERROR(VLOOKUP(D404,ProductMaster!$A:$C,3,FALSE),"")</f>
        <v/>
      </c>
      <c r="G404" s="89" t="str">
        <f>IFERROR(VLOOKUP($D404,ProductMaster!$A:$O,4,FALSE),"")</f>
        <v/>
      </c>
      <c r="H404" s="90"/>
      <c r="I404" s="123">
        <f>IFERROR(VLOOKUP(E404,ProductMaster!B:G,6,FALSE),0)</f>
        <v>0</v>
      </c>
      <c r="J404" s="123">
        <f t="shared" si="39"/>
        <v>0</v>
      </c>
      <c r="K404" s="123">
        <f t="shared" si="40"/>
        <v>0</v>
      </c>
      <c r="L404" s="91"/>
      <c r="M404" s="92"/>
      <c r="N404" s="92"/>
      <c r="O404" s="93">
        <v>0</v>
      </c>
      <c r="P404" s="86"/>
      <c r="Q404" s="82">
        <f t="shared" si="41"/>
        <v>215</v>
      </c>
    </row>
    <row r="405" spans="1:17" ht="20.25" customHeight="1">
      <c r="A405" s="85"/>
      <c r="B405" s="102"/>
      <c r="C405" s="86"/>
      <c r="D405" s="87"/>
      <c r="E405" s="88" t="str">
        <f>IFERROR(VLOOKUP(D405,ProductMaster!$A:$B,2,FALSE),"")</f>
        <v/>
      </c>
      <c r="F405" s="88" t="str">
        <f>IFERROR(VLOOKUP(D405,ProductMaster!$A:$C,3,FALSE),"")</f>
        <v/>
      </c>
      <c r="G405" s="89" t="str">
        <f>IFERROR(VLOOKUP($D405,ProductMaster!$A:$O,4,FALSE),"")</f>
        <v/>
      </c>
      <c r="H405" s="90"/>
      <c r="I405" s="123">
        <f>IFERROR(VLOOKUP(E405,ProductMaster!B:G,6,FALSE),0)</f>
        <v>0</v>
      </c>
      <c r="J405" s="123">
        <f t="shared" si="39"/>
        <v>0</v>
      </c>
      <c r="K405" s="123">
        <f t="shared" si="40"/>
        <v>0</v>
      </c>
      <c r="L405" s="91"/>
      <c r="M405" s="92"/>
      <c r="N405" s="92"/>
      <c r="O405" s="93">
        <v>0</v>
      </c>
      <c r="P405" s="86"/>
      <c r="Q405" s="82">
        <f t="shared" si="41"/>
        <v>216</v>
      </c>
    </row>
    <row r="406" spans="1:17" ht="20.25" customHeight="1">
      <c r="A406" s="85"/>
      <c r="B406" s="102"/>
      <c r="C406" s="86"/>
      <c r="D406" s="87"/>
      <c r="E406" s="88" t="str">
        <f>IFERROR(VLOOKUP(D406,ProductMaster!$A:$B,2,FALSE),"")</f>
        <v/>
      </c>
      <c r="F406" s="88" t="str">
        <f>IFERROR(VLOOKUP(D406,ProductMaster!$A:$C,3,FALSE),"")</f>
        <v/>
      </c>
      <c r="G406" s="89" t="str">
        <f>IFERROR(VLOOKUP($D406,ProductMaster!$A:$O,4,FALSE),"")</f>
        <v/>
      </c>
      <c r="H406" s="90"/>
      <c r="I406" s="123">
        <f>IFERROR(VLOOKUP(E406,ProductMaster!B:G,6,FALSE),0)</f>
        <v>0</v>
      </c>
      <c r="J406" s="123">
        <f t="shared" si="39"/>
        <v>0</v>
      </c>
      <c r="K406" s="123">
        <f t="shared" si="40"/>
        <v>0</v>
      </c>
      <c r="L406" s="91"/>
      <c r="M406" s="92"/>
      <c r="N406" s="92"/>
      <c r="O406" s="93">
        <v>0</v>
      </c>
      <c r="P406" s="86"/>
      <c r="Q406" s="82">
        <f t="shared" si="41"/>
        <v>217</v>
      </c>
    </row>
    <row r="407" spans="1:17" ht="20.25" customHeight="1">
      <c r="A407" s="85"/>
      <c r="B407" s="102"/>
      <c r="C407" s="86"/>
      <c r="D407" s="87"/>
      <c r="E407" s="88" t="str">
        <f>IFERROR(VLOOKUP(D407,ProductMaster!$A:$B,2,FALSE),"")</f>
        <v/>
      </c>
      <c r="F407" s="88" t="str">
        <f>IFERROR(VLOOKUP(D407,ProductMaster!$A:$C,3,FALSE),"")</f>
        <v/>
      </c>
      <c r="G407" s="89" t="str">
        <f>IFERROR(VLOOKUP($D407,ProductMaster!$A:$O,4,FALSE),"")</f>
        <v/>
      </c>
      <c r="H407" s="90"/>
      <c r="I407" s="123">
        <f>IFERROR(VLOOKUP(E407,ProductMaster!B:G,6,FALSE),0)</f>
        <v>0</v>
      </c>
      <c r="J407" s="123">
        <f t="shared" si="39"/>
        <v>0</v>
      </c>
      <c r="K407" s="123">
        <f t="shared" si="40"/>
        <v>0</v>
      </c>
      <c r="L407" s="91"/>
      <c r="M407" s="92"/>
      <c r="N407" s="92"/>
      <c r="O407" s="93">
        <v>0</v>
      </c>
      <c r="P407" s="86"/>
      <c r="Q407" s="82">
        <f t="shared" si="41"/>
        <v>218</v>
      </c>
    </row>
    <row r="408" spans="1:17" ht="20.25" customHeight="1">
      <c r="A408" s="85"/>
      <c r="B408" s="102"/>
      <c r="C408" s="86"/>
      <c r="D408" s="87"/>
      <c r="E408" s="88" t="str">
        <f>IFERROR(VLOOKUP(D408,ProductMaster!$A:$B,2,FALSE),"")</f>
        <v/>
      </c>
      <c r="F408" s="88" t="str">
        <f>IFERROR(VLOOKUP(D408,ProductMaster!$A:$C,3,FALSE),"")</f>
        <v/>
      </c>
      <c r="G408" s="89" t="str">
        <f>IFERROR(VLOOKUP($D408,ProductMaster!$A:$O,4,FALSE),"")</f>
        <v/>
      </c>
      <c r="H408" s="90"/>
      <c r="I408" s="123">
        <f>IFERROR(VLOOKUP(E408,ProductMaster!B:G,6,FALSE),0)</f>
        <v>0</v>
      </c>
      <c r="J408" s="123">
        <f t="shared" si="39"/>
        <v>0</v>
      </c>
      <c r="K408" s="123">
        <f t="shared" si="40"/>
        <v>0</v>
      </c>
      <c r="L408" s="91"/>
      <c r="M408" s="92"/>
      <c r="N408" s="92"/>
      <c r="O408" s="93">
        <v>0</v>
      </c>
      <c r="P408" s="86"/>
      <c r="Q408" s="82">
        <f t="shared" si="41"/>
        <v>219</v>
      </c>
    </row>
    <row r="409" spans="1:17" ht="20.25" customHeight="1">
      <c r="A409" s="85"/>
      <c r="B409" s="102"/>
      <c r="C409" s="86"/>
      <c r="D409" s="87"/>
      <c r="E409" s="88" t="str">
        <f>IFERROR(VLOOKUP(D409,ProductMaster!$A:$B,2,FALSE),"")</f>
        <v/>
      </c>
      <c r="F409" s="88" t="str">
        <f>IFERROR(VLOOKUP(D409,ProductMaster!$A:$C,3,FALSE),"")</f>
        <v/>
      </c>
      <c r="G409" s="89" t="str">
        <f>IFERROR(VLOOKUP($D409,ProductMaster!$A:$O,4,FALSE),"")</f>
        <v/>
      </c>
      <c r="H409" s="90"/>
      <c r="I409" s="123">
        <f>IFERROR(VLOOKUP(E409,ProductMaster!B:G,6,FALSE),0)</f>
        <v>0</v>
      </c>
      <c r="J409" s="123">
        <f t="shared" si="39"/>
        <v>0</v>
      </c>
      <c r="K409" s="123">
        <f t="shared" si="40"/>
        <v>0</v>
      </c>
      <c r="L409" s="91"/>
      <c r="M409" s="92"/>
      <c r="N409" s="92"/>
      <c r="O409" s="93">
        <v>0</v>
      </c>
      <c r="P409" s="86"/>
      <c r="Q409" s="82">
        <f t="shared" si="41"/>
        <v>220</v>
      </c>
    </row>
    <row r="410" spans="1:17" ht="20.25" customHeight="1">
      <c r="A410" s="85"/>
      <c r="B410" s="102"/>
      <c r="C410" s="86"/>
      <c r="D410" s="87"/>
      <c r="E410" s="88" t="str">
        <f>IFERROR(VLOOKUP(D410,ProductMaster!$A:$B,2,FALSE),"")</f>
        <v/>
      </c>
      <c r="F410" s="88" t="str">
        <f>IFERROR(VLOOKUP(D410,ProductMaster!$A:$C,3,FALSE),"")</f>
        <v/>
      </c>
      <c r="G410" s="89" t="str">
        <f>IFERROR(VLOOKUP($D410,ProductMaster!$A:$O,4,FALSE),"")</f>
        <v/>
      </c>
      <c r="H410" s="90"/>
      <c r="I410" s="123">
        <f>IFERROR(VLOOKUP(E410,ProductMaster!B:G,6,FALSE),0)</f>
        <v>0</v>
      </c>
      <c r="J410" s="123">
        <f t="shared" si="39"/>
        <v>0</v>
      </c>
      <c r="K410" s="123">
        <f t="shared" si="40"/>
        <v>0</v>
      </c>
      <c r="L410" s="91"/>
      <c r="M410" s="92"/>
      <c r="N410" s="92"/>
      <c r="O410" s="93">
        <v>0</v>
      </c>
      <c r="P410" s="86"/>
      <c r="Q410" s="82">
        <f t="shared" si="41"/>
        <v>221</v>
      </c>
    </row>
    <row r="411" spans="1:17" ht="20.25" customHeight="1">
      <c r="A411" s="85"/>
      <c r="B411" s="102"/>
      <c r="C411" s="86"/>
      <c r="D411" s="87"/>
      <c r="E411" s="88" t="str">
        <f>IFERROR(VLOOKUP(D411,ProductMaster!$A:$B,2,FALSE),"")</f>
        <v/>
      </c>
      <c r="F411" s="88" t="str">
        <f>IFERROR(VLOOKUP(D411,ProductMaster!$A:$C,3,FALSE),"")</f>
        <v/>
      </c>
      <c r="G411" s="89" t="str">
        <f>IFERROR(VLOOKUP($D411,ProductMaster!$A:$O,4,FALSE),"")</f>
        <v/>
      </c>
      <c r="H411" s="90"/>
      <c r="I411" s="123">
        <f>IFERROR(VLOOKUP(E411,ProductMaster!B:G,6,FALSE),0)</f>
        <v>0</v>
      </c>
      <c r="J411" s="123">
        <f t="shared" si="39"/>
        <v>0</v>
      </c>
      <c r="K411" s="123">
        <f t="shared" si="40"/>
        <v>0</v>
      </c>
      <c r="L411" s="91"/>
      <c r="M411" s="92"/>
      <c r="N411" s="92"/>
      <c r="O411" s="93">
        <v>0</v>
      </c>
      <c r="P411" s="86"/>
      <c r="Q411" s="82">
        <f t="shared" si="41"/>
        <v>222</v>
      </c>
    </row>
    <row r="412" spans="1:17" ht="20.25" customHeight="1">
      <c r="A412" s="85"/>
      <c r="B412" s="102"/>
      <c r="C412" s="86"/>
      <c r="D412" s="87"/>
      <c r="E412" s="88" t="str">
        <f>IFERROR(VLOOKUP(D412,ProductMaster!$A:$B,2,FALSE),"")</f>
        <v/>
      </c>
      <c r="F412" s="88" t="str">
        <f>IFERROR(VLOOKUP(D412,ProductMaster!$A:$C,3,FALSE),"")</f>
        <v/>
      </c>
      <c r="G412" s="89" t="str">
        <f>IFERROR(VLOOKUP($D412,ProductMaster!$A:$O,4,FALSE),"")</f>
        <v/>
      </c>
      <c r="H412" s="90"/>
      <c r="I412" s="123">
        <f>IFERROR(VLOOKUP(E412,ProductMaster!B:G,6,FALSE),0)</f>
        <v>0</v>
      </c>
      <c r="J412" s="123">
        <f t="shared" si="39"/>
        <v>0</v>
      </c>
      <c r="K412" s="123">
        <f t="shared" si="40"/>
        <v>0</v>
      </c>
      <c r="L412" s="91"/>
      <c r="M412" s="92"/>
      <c r="N412" s="92"/>
      <c r="O412" s="93">
        <v>0</v>
      </c>
      <c r="P412" s="86"/>
      <c r="Q412" s="82">
        <f t="shared" si="41"/>
        <v>223</v>
      </c>
    </row>
    <row r="413" spans="1:17" ht="20.25" customHeight="1">
      <c r="A413" s="85"/>
      <c r="B413" s="102"/>
      <c r="C413" s="86"/>
      <c r="D413" s="87"/>
      <c r="E413" s="88" t="str">
        <f>IFERROR(VLOOKUP(D413,ProductMaster!$A:$B,2,FALSE),"")</f>
        <v/>
      </c>
      <c r="F413" s="88" t="str">
        <f>IFERROR(VLOOKUP(D413,ProductMaster!$A:$C,3,FALSE),"")</f>
        <v/>
      </c>
      <c r="G413" s="89" t="str">
        <f>IFERROR(VLOOKUP($D413,ProductMaster!$A:$O,4,FALSE),"")</f>
        <v/>
      </c>
      <c r="H413" s="90"/>
      <c r="I413" s="123">
        <f>IFERROR(VLOOKUP(E413,ProductMaster!B:G,6,FALSE),0)</f>
        <v>0</v>
      </c>
      <c r="J413" s="123">
        <f t="shared" si="39"/>
        <v>0</v>
      </c>
      <c r="K413" s="123">
        <f t="shared" si="40"/>
        <v>0</v>
      </c>
      <c r="L413" s="91"/>
      <c r="M413" s="92"/>
      <c r="N413" s="92"/>
      <c r="O413" s="93">
        <v>0</v>
      </c>
      <c r="P413" s="86"/>
      <c r="Q413" s="82">
        <f t="shared" si="41"/>
        <v>224</v>
      </c>
    </row>
    <row r="414" spans="1:17" ht="20.25" customHeight="1">
      <c r="A414" s="85"/>
      <c r="B414" s="102"/>
      <c r="C414" s="86"/>
      <c r="D414" s="87"/>
      <c r="E414" s="88" t="str">
        <f>IFERROR(VLOOKUP(D414,ProductMaster!$A:$B,2,FALSE),"")</f>
        <v/>
      </c>
      <c r="F414" s="88" t="str">
        <f>IFERROR(VLOOKUP(D414,ProductMaster!$A:$C,3,FALSE),"")</f>
        <v/>
      </c>
      <c r="G414" s="89" t="str">
        <f>IFERROR(VLOOKUP($D414,ProductMaster!$A:$O,4,FALSE),"")</f>
        <v/>
      </c>
      <c r="H414" s="90"/>
      <c r="I414" s="123">
        <f>IFERROR(VLOOKUP(E414,ProductMaster!B:G,6,FALSE),0)</f>
        <v>0</v>
      </c>
      <c r="J414" s="123">
        <f t="shared" si="39"/>
        <v>0</v>
      </c>
      <c r="K414" s="123">
        <f t="shared" si="40"/>
        <v>0</v>
      </c>
      <c r="L414" s="91"/>
      <c r="M414" s="92"/>
      <c r="N414" s="92"/>
      <c r="O414" s="93">
        <v>0</v>
      </c>
      <c r="P414" s="86"/>
      <c r="Q414" s="82">
        <f t="shared" si="41"/>
        <v>225</v>
      </c>
    </row>
    <row r="415" spans="1:17" ht="20.25" customHeight="1">
      <c r="A415" s="85"/>
      <c r="B415" s="102"/>
      <c r="C415" s="86"/>
      <c r="D415" s="87"/>
      <c r="E415" s="88" t="str">
        <f>IFERROR(VLOOKUP(D415,ProductMaster!$A:$B,2,FALSE),"")</f>
        <v/>
      </c>
      <c r="F415" s="88" t="str">
        <f>IFERROR(VLOOKUP(D415,ProductMaster!$A:$C,3,FALSE),"")</f>
        <v/>
      </c>
      <c r="G415" s="89" t="str">
        <f>IFERROR(VLOOKUP($D415,ProductMaster!$A:$O,4,FALSE),"")</f>
        <v/>
      </c>
      <c r="H415" s="90"/>
      <c r="I415" s="123">
        <f>IFERROR(VLOOKUP(E415,ProductMaster!B:G,6,FALSE),0)</f>
        <v>0</v>
      </c>
      <c r="J415" s="123">
        <f t="shared" si="39"/>
        <v>0</v>
      </c>
      <c r="K415" s="123">
        <f t="shared" si="40"/>
        <v>0</v>
      </c>
      <c r="L415" s="91"/>
      <c r="M415" s="92"/>
      <c r="N415" s="92"/>
      <c r="O415" s="93">
        <v>0</v>
      </c>
      <c r="P415" s="86"/>
      <c r="Q415" s="82">
        <f t="shared" si="41"/>
        <v>226</v>
      </c>
    </row>
    <row r="416" spans="1:17" ht="20.25" customHeight="1">
      <c r="A416" s="85"/>
      <c r="B416" s="102"/>
      <c r="C416" s="86"/>
      <c r="D416" s="87"/>
      <c r="E416" s="88" t="str">
        <f>IFERROR(VLOOKUP(D416,ProductMaster!$A:$B,2,FALSE),"")</f>
        <v/>
      </c>
      <c r="F416" s="88" t="str">
        <f>IFERROR(VLOOKUP(D416,ProductMaster!$A:$C,3,FALSE),"")</f>
        <v/>
      </c>
      <c r="G416" s="89" t="str">
        <f>IFERROR(VLOOKUP($D416,ProductMaster!$A:$O,4,FALSE),"")</f>
        <v/>
      </c>
      <c r="H416" s="90"/>
      <c r="I416" s="123">
        <f>IFERROR(VLOOKUP(E416,ProductMaster!B:G,6,FALSE),0)</f>
        <v>0</v>
      </c>
      <c r="J416" s="123">
        <f t="shared" si="39"/>
        <v>0</v>
      </c>
      <c r="K416" s="123">
        <f t="shared" si="40"/>
        <v>0</v>
      </c>
      <c r="L416" s="91"/>
      <c r="M416" s="92"/>
      <c r="N416" s="92"/>
      <c r="O416" s="93">
        <v>0</v>
      </c>
      <c r="P416" s="86"/>
      <c r="Q416" s="82">
        <f t="shared" si="41"/>
        <v>227</v>
      </c>
    </row>
    <row r="417" spans="1:17" ht="20.25" customHeight="1">
      <c r="A417" s="85"/>
      <c r="B417" s="102"/>
      <c r="C417" s="86"/>
      <c r="D417" s="87"/>
      <c r="E417" s="88" t="str">
        <f>IFERROR(VLOOKUP(D417,ProductMaster!$A:$B,2,FALSE),"")</f>
        <v/>
      </c>
      <c r="F417" s="88" t="str">
        <f>IFERROR(VLOOKUP(D417,ProductMaster!$A:$C,3,FALSE),"")</f>
        <v/>
      </c>
      <c r="G417" s="89" t="str">
        <f>IFERROR(VLOOKUP($D417,ProductMaster!$A:$O,4,FALSE),"")</f>
        <v/>
      </c>
      <c r="H417" s="90"/>
      <c r="I417" s="123">
        <f>IFERROR(VLOOKUP(E417,ProductMaster!B:G,6,FALSE),0)</f>
        <v>0</v>
      </c>
      <c r="J417" s="123">
        <f t="shared" si="39"/>
        <v>0</v>
      </c>
      <c r="K417" s="123">
        <f t="shared" si="40"/>
        <v>0</v>
      </c>
      <c r="L417" s="91"/>
      <c r="M417" s="92"/>
      <c r="N417" s="92"/>
      <c r="O417" s="93">
        <v>0</v>
      </c>
      <c r="P417" s="86"/>
      <c r="Q417" s="82">
        <f t="shared" si="41"/>
        <v>228</v>
      </c>
    </row>
    <row r="418" spans="1:17" ht="20.25" customHeight="1">
      <c r="A418" s="85"/>
      <c r="B418" s="102"/>
      <c r="C418" s="86"/>
      <c r="D418" s="87"/>
      <c r="E418" s="88" t="str">
        <f>IFERROR(VLOOKUP(D418,ProductMaster!$A:$B,2,FALSE),"")</f>
        <v/>
      </c>
      <c r="F418" s="88" t="str">
        <f>IFERROR(VLOOKUP(D418,ProductMaster!$A:$C,3,FALSE),"")</f>
        <v/>
      </c>
      <c r="G418" s="89" t="str">
        <f>IFERROR(VLOOKUP($D418,ProductMaster!$A:$O,4,FALSE),"")</f>
        <v/>
      </c>
      <c r="H418" s="90"/>
      <c r="I418" s="123">
        <f>IFERROR(VLOOKUP(E418,ProductMaster!B:G,6,FALSE),0)</f>
        <v>0</v>
      </c>
      <c r="J418" s="123">
        <f t="shared" si="39"/>
        <v>0</v>
      </c>
      <c r="K418" s="123">
        <f t="shared" si="40"/>
        <v>0</v>
      </c>
      <c r="L418" s="91"/>
      <c r="M418" s="92"/>
      <c r="N418" s="92"/>
      <c r="O418" s="93">
        <v>0</v>
      </c>
      <c r="P418" s="86"/>
      <c r="Q418" s="82">
        <f t="shared" si="41"/>
        <v>229</v>
      </c>
    </row>
    <row r="419" spans="1:17" ht="20.25" customHeight="1">
      <c r="A419" s="85"/>
      <c r="B419" s="102"/>
      <c r="C419" s="86"/>
      <c r="D419" s="87"/>
      <c r="E419" s="88" t="str">
        <f>IFERROR(VLOOKUP(D419,ProductMaster!$A:$B,2,FALSE),"")</f>
        <v/>
      </c>
      <c r="F419" s="88" t="str">
        <f>IFERROR(VLOOKUP(D419,ProductMaster!$A:$C,3,FALSE),"")</f>
        <v/>
      </c>
      <c r="G419" s="89" t="str">
        <f>IFERROR(VLOOKUP($D419,ProductMaster!$A:$O,4,FALSE),"")</f>
        <v/>
      </c>
      <c r="H419" s="90"/>
      <c r="I419" s="123">
        <f>IFERROR(VLOOKUP(E419,ProductMaster!B:G,6,FALSE),0)</f>
        <v>0</v>
      </c>
      <c r="J419" s="123">
        <f t="shared" si="39"/>
        <v>0</v>
      </c>
      <c r="K419" s="123">
        <f t="shared" si="40"/>
        <v>0</v>
      </c>
      <c r="L419" s="91"/>
      <c r="M419" s="92"/>
      <c r="N419" s="92"/>
      <c r="O419" s="93">
        <v>0</v>
      </c>
      <c r="P419" s="86"/>
      <c r="Q419" s="82">
        <f t="shared" si="41"/>
        <v>230</v>
      </c>
    </row>
    <row r="420" spans="1:17" ht="20.25" customHeight="1">
      <c r="A420" s="85"/>
      <c r="B420" s="102"/>
      <c r="C420" s="86"/>
      <c r="D420" s="87"/>
      <c r="E420" s="88" t="str">
        <f>IFERROR(VLOOKUP(D420,ProductMaster!$A:$B,2,FALSE),"")</f>
        <v/>
      </c>
      <c r="F420" s="88" t="str">
        <f>IFERROR(VLOOKUP(D420,ProductMaster!$A:$C,3,FALSE),"")</f>
        <v/>
      </c>
      <c r="G420" s="89" t="str">
        <f>IFERROR(VLOOKUP($D420,ProductMaster!$A:$O,4,FALSE),"")</f>
        <v/>
      </c>
      <c r="H420" s="90"/>
      <c r="I420" s="123">
        <f>IFERROR(VLOOKUP(E420,ProductMaster!B:G,6,FALSE),0)</f>
        <v>0</v>
      </c>
      <c r="J420" s="123">
        <f t="shared" si="39"/>
        <v>0</v>
      </c>
      <c r="K420" s="123">
        <f t="shared" si="40"/>
        <v>0</v>
      </c>
      <c r="L420" s="91"/>
      <c r="M420" s="92"/>
      <c r="N420" s="92"/>
      <c r="O420" s="93">
        <v>0</v>
      </c>
      <c r="P420" s="86"/>
      <c r="Q420" s="82">
        <f t="shared" si="41"/>
        <v>231</v>
      </c>
    </row>
    <row r="421" spans="1:17" ht="20.25" customHeight="1">
      <c r="A421" s="85"/>
      <c r="B421" s="102"/>
      <c r="C421" s="86"/>
      <c r="D421" s="87"/>
      <c r="E421" s="88" t="str">
        <f>IFERROR(VLOOKUP(D421,ProductMaster!$A:$B,2,FALSE),"")</f>
        <v/>
      </c>
      <c r="F421" s="88" t="str">
        <f>IFERROR(VLOOKUP(D421,ProductMaster!$A:$C,3,FALSE),"")</f>
        <v/>
      </c>
      <c r="G421" s="89" t="str">
        <f>IFERROR(VLOOKUP($D421,ProductMaster!$A:$O,4,FALSE),"")</f>
        <v/>
      </c>
      <c r="H421" s="90"/>
      <c r="I421" s="123">
        <f>IFERROR(VLOOKUP(E421,ProductMaster!B:G,6,FALSE),0)</f>
        <v>0</v>
      </c>
      <c r="J421" s="123">
        <f t="shared" si="39"/>
        <v>0</v>
      </c>
      <c r="K421" s="123">
        <f t="shared" si="40"/>
        <v>0</v>
      </c>
      <c r="L421" s="91"/>
      <c r="M421" s="92"/>
      <c r="N421" s="92"/>
      <c r="O421" s="93">
        <v>0</v>
      </c>
      <c r="P421" s="86"/>
      <c r="Q421" s="82">
        <f t="shared" si="41"/>
        <v>232</v>
      </c>
    </row>
    <row r="422" spans="1:17" ht="20.25" customHeight="1">
      <c r="A422" s="85"/>
      <c r="B422" s="102"/>
      <c r="C422" s="86"/>
      <c r="D422" s="87"/>
      <c r="E422" s="88" t="str">
        <f>IFERROR(VLOOKUP(D422,ProductMaster!$A:$B,2,FALSE),"")</f>
        <v/>
      </c>
      <c r="F422" s="88" t="str">
        <f>IFERROR(VLOOKUP(D422,ProductMaster!$A:$C,3,FALSE),"")</f>
        <v/>
      </c>
      <c r="G422" s="89" t="str">
        <f>IFERROR(VLOOKUP($D422,ProductMaster!$A:$O,4,FALSE),"")</f>
        <v/>
      </c>
      <c r="H422" s="90"/>
      <c r="I422" s="123">
        <f>IFERROR(VLOOKUP(E422,ProductMaster!B:G,6,FALSE),0)</f>
        <v>0</v>
      </c>
      <c r="J422" s="123">
        <f t="shared" si="39"/>
        <v>0</v>
      </c>
      <c r="K422" s="123">
        <f t="shared" si="40"/>
        <v>0</v>
      </c>
      <c r="L422" s="91"/>
      <c r="M422" s="92"/>
      <c r="N422" s="92"/>
      <c r="O422" s="93">
        <v>0</v>
      </c>
      <c r="P422" s="86"/>
      <c r="Q422" s="82">
        <f t="shared" si="41"/>
        <v>233</v>
      </c>
    </row>
    <row r="423" spans="1:17" ht="20.25" customHeight="1">
      <c r="A423" s="85"/>
      <c r="B423" s="102"/>
      <c r="C423" s="86"/>
      <c r="D423" s="87"/>
      <c r="E423" s="88" t="str">
        <f>IFERROR(VLOOKUP(D423,ProductMaster!$A:$B,2,FALSE),"")</f>
        <v/>
      </c>
      <c r="F423" s="88" t="str">
        <f>IFERROR(VLOOKUP(D423,ProductMaster!$A:$C,3,FALSE),"")</f>
        <v/>
      </c>
      <c r="G423" s="89" t="str">
        <f>IFERROR(VLOOKUP($D423,ProductMaster!$A:$O,4,FALSE),"")</f>
        <v/>
      </c>
      <c r="H423" s="90"/>
      <c r="I423" s="123">
        <f>IFERROR(VLOOKUP(E423,ProductMaster!B:G,6,FALSE),0)</f>
        <v>0</v>
      </c>
      <c r="J423" s="123">
        <f t="shared" si="39"/>
        <v>0</v>
      </c>
      <c r="K423" s="123">
        <f t="shared" si="40"/>
        <v>0</v>
      </c>
      <c r="L423" s="91"/>
      <c r="M423" s="92"/>
      <c r="N423" s="92"/>
      <c r="O423" s="93">
        <v>0</v>
      </c>
      <c r="P423" s="86"/>
      <c r="Q423" s="82">
        <f t="shared" si="41"/>
        <v>234</v>
      </c>
    </row>
    <row r="424" spans="1:17" ht="20.25" customHeight="1">
      <c r="A424" s="85"/>
      <c r="B424" s="102"/>
      <c r="C424" s="86"/>
      <c r="D424" s="87"/>
      <c r="E424" s="88" t="str">
        <f>IFERROR(VLOOKUP(D424,ProductMaster!$A:$B,2,FALSE),"")</f>
        <v/>
      </c>
      <c r="F424" s="88" t="str">
        <f>IFERROR(VLOOKUP(D424,ProductMaster!$A:$C,3,FALSE),"")</f>
        <v/>
      </c>
      <c r="G424" s="89" t="str">
        <f>IFERROR(VLOOKUP($D424,ProductMaster!$A:$O,4,FALSE),"")</f>
        <v/>
      </c>
      <c r="H424" s="90"/>
      <c r="I424" s="123">
        <f>IFERROR(VLOOKUP(E424,ProductMaster!B:G,6,FALSE),0)</f>
        <v>0</v>
      </c>
      <c r="J424" s="123">
        <f t="shared" si="39"/>
        <v>0</v>
      </c>
      <c r="K424" s="123">
        <f t="shared" si="40"/>
        <v>0</v>
      </c>
      <c r="L424" s="91"/>
      <c r="M424" s="92"/>
      <c r="N424" s="92"/>
      <c r="O424" s="93">
        <v>0</v>
      </c>
      <c r="P424" s="86"/>
      <c r="Q424" s="82">
        <f t="shared" si="41"/>
        <v>235</v>
      </c>
    </row>
    <row r="425" spans="1:17" ht="20.25" customHeight="1">
      <c r="A425" s="85"/>
      <c r="B425" s="102"/>
      <c r="C425" s="86"/>
      <c r="D425" s="87"/>
      <c r="E425" s="88" t="str">
        <f>IFERROR(VLOOKUP(D425,ProductMaster!$A:$B,2,FALSE),"")</f>
        <v/>
      </c>
      <c r="F425" s="88" t="str">
        <f>IFERROR(VLOOKUP(D425,ProductMaster!$A:$C,3,FALSE),"")</f>
        <v/>
      </c>
      <c r="G425" s="89" t="str">
        <f>IFERROR(VLOOKUP($D425,ProductMaster!$A:$O,4,FALSE),"")</f>
        <v/>
      </c>
      <c r="H425" s="90"/>
      <c r="I425" s="123">
        <f>IFERROR(VLOOKUP(E425,ProductMaster!B:G,6,FALSE),0)</f>
        <v>0</v>
      </c>
      <c r="J425" s="123">
        <f t="shared" si="39"/>
        <v>0</v>
      </c>
      <c r="K425" s="123">
        <f t="shared" si="40"/>
        <v>0</v>
      </c>
      <c r="L425" s="91"/>
      <c r="M425" s="92"/>
      <c r="N425" s="92"/>
      <c r="O425" s="93">
        <v>0</v>
      </c>
      <c r="P425" s="86"/>
      <c r="Q425" s="82">
        <f t="shared" si="41"/>
        <v>236</v>
      </c>
    </row>
    <row r="426" spans="1:17" ht="20.25" customHeight="1">
      <c r="A426" s="85"/>
      <c r="B426" s="102"/>
      <c r="C426" s="86"/>
      <c r="D426" s="87"/>
      <c r="E426" s="88" t="str">
        <f>IFERROR(VLOOKUP(D426,ProductMaster!$A:$B,2,FALSE),"")</f>
        <v/>
      </c>
      <c r="F426" s="88" t="str">
        <f>IFERROR(VLOOKUP(D426,ProductMaster!$A:$C,3,FALSE),"")</f>
        <v/>
      </c>
      <c r="G426" s="89" t="str">
        <f>IFERROR(VLOOKUP($D426,ProductMaster!$A:$O,4,FALSE),"")</f>
        <v/>
      </c>
      <c r="H426" s="90"/>
      <c r="I426" s="123">
        <f>IFERROR(VLOOKUP(E426,ProductMaster!B:G,6,FALSE),0)</f>
        <v>0</v>
      </c>
      <c r="J426" s="123">
        <f t="shared" si="39"/>
        <v>0</v>
      </c>
      <c r="K426" s="123">
        <f t="shared" si="40"/>
        <v>0</v>
      </c>
      <c r="L426" s="91"/>
      <c r="M426" s="92"/>
      <c r="N426" s="92"/>
      <c r="O426" s="93">
        <v>0</v>
      </c>
      <c r="P426" s="86"/>
      <c r="Q426" s="82">
        <f t="shared" si="41"/>
        <v>237</v>
      </c>
    </row>
    <row r="427" spans="1:17" ht="20.25" customHeight="1">
      <c r="A427" s="85"/>
      <c r="B427" s="102"/>
      <c r="C427" s="86"/>
      <c r="D427" s="87"/>
      <c r="E427" s="88" t="str">
        <f>IFERROR(VLOOKUP(D427,ProductMaster!$A:$B,2,FALSE),"")</f>
        <v/>
      </c>
      <c r="F427" s="88" t="str">
        <f>IFERROR(VLOOKUP(D427,ProductMaster!$A:$C,3,FALSE),"")</f>
        <v/>
      </c>
      <c r="G427" s="89" t="str">
        <f>IFERROR(VLOOKUP($D427,ProductMaster!$A:$O,4,FALSE),"")</f>
        <v/>
      </c>
      <c r="H427" s="90"/>
      <c r="I427" s="123">
        <f>IFERROR(VLOOKUP(E427,ProductMaster!B:G,6,FALSE),0)</f>
        <v>0</v>
      </c>
      <c r="J427" s="123">
        <f t="shared" si="39"/>
        <v>0</v>
      </c>
      <c r="K427" s="123">
        <f t="shared" si="40"/>
        <v>0</v>
      </c>
      <c r="L427" s="91"/>
      <c r="M427" s="92"/>
      <c r="N427" s="92"/>
      <c r="O427" s="93">
        <v>0</v>
      </c>
      <c r="P427" s="86"/>
      <c r="Q427" s="82">
        <f t="shared" si="41"/>
        <v>238</v>
      </c>
    </row>
    <row r="428" spans="1:17" ht="20.25" customHeight="1">
      <c r="A428" s="85"/>
      <c r="B428" s="102"/>
      <c r="C428" s="86"/>
      <c r="D428" s="87"/>
      <c r="E428" s="88" t="str">
        <f>IFERROR(VLOOKUP(D428,ProductMaster!$A:$B,2,FALSE),"")</f>
        <v/>
      </c>
      <c r="F428" s="88" t="str">
        <f>IFERROR(VLOOKUP(D428,ProductMaster!$A:$C,3,FALSE),"")</f>
        <v/>
      </c>
      <c r="G428" s="89" t="str">
        <f>IFERROR(VLOOKUP($D428,ProductMaster!$A:$O,4,FALSE),"")</f>
        <v/>
      </c>
      <c r="H428" s="90"/>
      <c r="I428" s="123">
        <f>IFERROR(VLOOKUP(E428,ProductMaster!B:G,6,FALSE),0)</f>
        <v>0</v>
      </c>
      <c r="J428" s="123">
        <f t="shared" si="39"/>
        <v>0</v>
      </c>
      <c r="K428" s="123">
        <f t="shared" si="40"/>
        <v>0</v>
      </c>
      <c r="L428" s="91"/>
      <c r="M428" s="92"/>
      <c r="N428" s="92"/>
      <c r="O428" s="93">
        <v>0</v>
      </c>
      <c r="P428" s="86"/>
      <c r="Q428" s="82">
        <f t="shared" si="41"/>
        <v>239</v>
      </c>
    </row>
    <row r="429" spans="1:17" ht="20.25" customHeight="1">
      <c r="A429" s="85"/>
      <c r="B429" s="102"/>
      <c r="C429" s="86"/>
      <c r="D429" s="87"/>
      <c r="E429" s="88" t="str">
        <f>IFERROR(VLOOKUP(D429,ProductMaster!$A:$B,2,FALSE),"")</f>
        <v/>
      </c>
      <c r="F429" s="88" t="str">
        <f>IFERROR(VLOOKUP(D429,ProductMaster!$A:$C,3,FALSE),"")</f>
        <v/>
      </c>
      <c r="G429" s="89" t="str">
        <f>IFERROR(VLOOKUP($D429,ProductMaster!$A:$O,4,FALSE),"")</f>
        <v/>
      </c>
      <c r="H429" s="90"/>
      <c r="I429" s="123">
        <f>IFERROR(VLOOKUP(E429,ProductMaster!B:G,6,FALSE),0)</f>
        <v>0</v>
      </c>
      <c r="J429" s="123">
        <f t="shared" si="39"/>
        <v>0</v>
      </c>
      <c r="K429" s="123">
        <f t="shared" si="40"/>
        <v>0</v>
      </c>
      <c r="L429" s="91"/>
      <c r="M429" s="92"/>
      <c r="N429" s="92"/>
      <c r="O429" s="93">
        <v>0</v>
      </c>
      <c r="P429" s="86"/>
      <c r="Q429" s="82">
        <f t="shared" si="41"/>
        <v>240</v>
      </c>
    </row>
    <row r="430" spans="1:17" ht="20.25" customHeight="1">
      <c r="A430" s="85"/>
      <c r="B430" s="102"/>
      <c r="C430" s="86"/>
      <c r="D430" s="87"/>
      <c r="E430" s="88" t="str">
        <f>IFERROR(VLOOKUP(D430,ProductMaster!$A:$B,2,FALSE),"")</f>
        <v/>
      </c>
      <c r="F430" s="88" t="str">
        <f>IFERROR(VLOOKUP(D430,ProductMaster!$A:$C,3,FALSE),"")</f>
        <v/>
      </c>
      <c r="G430" s="89" t="str">
        <f>IFERROR(VLOOKUP($D430,ProductMaster!$A:$O,4,FALSE),"")</f>
        <v/>
      </c>
      <c r="H430" s="90"/>
      <c r="I430" s="123">
        <f>IFERROR(VLOOKUP(E430,ProductMaster!B:G,6,FALSE),0)</f>
        <v>0</v>
      </c>
      <c r="J430" s="123">
        <f t="shared" si="39"/>
        <v>0</v>
      </c>
      <c r="K430" s="123">
        <f t="shared" si="40"/>
        <v>0</v>
      </c>
      <c r="L430" s="91"/>
      <c r="M430" s="92"/>
      <c r="N430" s="92"/>
      <c r="O430" s="93">
        <v>0</v>
      </c>
      <c r="P430" s="86"/>
      <c r="Q430" s="82">
        <f t="shared" si="41"/>
        <v>241</v>
      </c>
    </row>
    <row r="431" spans="1:17" ht="20.25" customHeight="1">
      <c r="A431" s="85"/>
      <c r="B431" s="102"/>
      <c r="C431" s="86"/>
      <c r="D431" s="87"/>
      <c r="E431" s="88" t="str">
        <f>IFERROR(VLOOKUP(D431,ProductMaster!$A:$B,2,FALSE),"")</f>
        <v/>
      </c>
      <c r="F431" s="88" t="str">
        <f>IFERROR(VLOOKUP(D431,ProductMaster!$A:$C,3,FALSE),"")</f>
        <v/>
      </c>
      <c r="G431" s="89" t="str">
        <f>IFERROR(VLOOKUP($D431,ProductMaster!$A:$O,4,FALSE),"")</f>
        <v/>
      </c>
      <c r="H431" s="90"/>
      <c r="I431" s="123">
        <f>IFERROR(VLOOKUP(E431,ProductMaster!B:G,6,FALSE),0)</f>
        <v>0</v>
      </c>
      <c r="J431" s="123">
        <f t="shared" si="39"/>
        <v>0</v>
      </c>
      <c r="K431" s="123">
        <f t="shared" si="40"/>
        <v>0</v>
      </c>
      <c r="L431" s="91"/>
      <c r="M431" s="92"/>
      <c r="N431" s="92"/>
      <c r="O431" s="93">
        <v>0</v>
      </c>
      <c r="P431" s="86"/>
      <c r="Q431" s="82">
        <f t="shared" si="41"/>
        <v>242</v>
      </c>
    </row>
    <row r="432" spans="1:17" ht="20.25" customHeight="1">
      <c r="A432" s="85"/>
      <c r="B432" s="102"/>
      <c r="C432" s="86"/>
      <c r="D432" s="87"/>
      <c r="E432" s="88" t="str">
        <f>IFERROR(VLOOKUP(D432,ProductMaster!$A:$B,2,FALSE),"")</f>
        <v/>
      </c>
      <c r="F432" s="88" t="str">
        <f>IFERROR(VLOOKUP(D432,ProductMaster!$A:$C,3,FALSE),"")</f>
        <v/>
      </c>
      <c r="G432" s="89" t="str">
        <f>IFERROR(VLOOKUP($D432,ProductMaster!$A:$O,4,FALSE),"")</f>
        <v/>
      </c>
      <c r="H432" s="90"/>
      <c r="I432" s="123">
        <f>IFERROR(VLOOKUP(E432,ProductMaster!B:G,6,FALSE),0)</f>
        <v>0</v>
      </c>
      <c r="J432" s="123">
        <f t="shared" si="39"/>
        <v>0</v>
      </c>
      <c r="K432" s="123">
        <f t="shared" si="40"/>
        <v>0</v>
      </c>
      <c r="L432" s="91"/>
      <c r="M432" s="92"/>
      <c r="N432" s="92"/>
      <c r="O432" s="93">
        <v>0</v>
      </c>
      <c r="P432" s="86"/>
      <c r="Q432" s="82">
        <f t="shared" si="41"/>
        <v>243</v>
      </c>
    </row>
    <row r="433" spans="1:17" ht="20.25" customHeight="1">
      <c r="A433" s="85"/>
      <c r="B433" s="102"/>
      <c r="C433" s="86"/>
      <c r="D433" s="87"/>
      <c r="E433" s="88" t="str">
        <f>IFERROR(VLOOKUP(D433,ProductMaster!$A:$B,2,FALSE),"")</f>
        <v/>
      </c>
      <c r="F433" s="88" t="str">
        <f>IFERROR(VLOOKUP(D433,ProductMaster!$A:$C,3,FALSE),"")</f>
        <v/>
      </c>
      <c r="G433" s="89" t="str">
        <f>IFERROR(VLOOKUP($D433,ProductMaster!$A:$O,4,FALSE),"")</f>
        <v/>
      </c>
      <c r="H433" s="90"/>
      <c r="I433" s="123">
        <f>IFERROR(VLOOKUP(E433,ProductMaster!B:G,6,FALSE),0)</f>
        <v>0</v>
      </c>
      <c r="J433" s="123">
        <f t="shared" si="39"/>
        <v>0</v>
      </c>
      <c r="K433" s="123">
        <f t="shared" si="40"/>
        <v>0</v>
      </c>
      <c r="L433" s="91"/>
      <c r="M433" s="92"/>
      <c r="N433" s="92"/>
      <c r="O433" s="93">
        <v>0</v>
      </c>
      <c r="P433" s="86"/>
      <c r="Q433" s="82">
        <f t="shared" si="41"/>
        <v>244</v>
      </c>
    </row>
    <row r="434" spans="1:17" ht="20.25" customHeight="1">
      <c r="A434" s="85"/>
      <c r="B434" s="102"/>
      <c r="C434" s="86"/>
      <c r="D434" s="87"/>
      <c r="E434" s="88" t="str">
        <f>IFERROR(VLOOKUP(D434,ProductMaster!$A:$B,2,FALSE),"")</f>
        <v/>
      </c>
      <c r="F434" s="88" t="str">
        <f>IFERROR(VLOOKUP(D434,ProductMaster!$A:$C,3,FALSE),"")</f>
        <v/>
      </c>
      <c r="G434" s="89" t="str">
        <f>IFERROR(VLOOKUP($D434,ProductMaster!$A:$O,4,FALSE),"")</f>
        <v/>
      </c>
      <c r="H434" s="90"/>
      <c r="I434" s="123">
        <f>IFERROR(VLOOKUP(E434,ProductMaster!B:G,6,FALSE),0)</f>
        <v>0</v>
      </c>
      <c r="J434" s="123">
        <f t="shared" si="39"/>
        <v>0</v>
      </c>
      <c r="K434" s="123">
        <f t="shared" si="40"/>
        <v>0</v>
      </c>
      <c r="L434" s="91"/>
      <c r="M434" s="92"/>
      <c r="N434" s="92"/>
      <c r="O434" s="93">
        <v>0</v>
      </c>
      <c r="P434" s="86"/>
      <c r="Q434" s="82">
        <f t="shared" si="41"/>
        <v>245</v>
      </c>
    </row>
    <row r="435" spans="1:17" ht="20.25" customHeight="1">
      <c r="A435" s="85"/>
      <c r="B435" s="102"/>
      <c r="C435" s="86"/>
      <c r="D435" s="87"/>
      <c r="E435" s="88" t="str">
        <f>IFERROR(VLOOKUP(D435,ProductMaster!$A:$B,2,FALSE),"")</f>
        <v/>
      </c>
      <c r="F435" s="88" t="str">
        <f>IFERROR(VLOOKUP(D435,ProductMaster!$A:$C,3,FALSE),"")</f>
        <v/>
      </c>
      <c r="G435" s="89" t="str">
        <f>IFERROR(VLOOKUP($D435,ProductMaster!$A:$O,4,FALSE),"")</f>
        <v/>
      </c>
      <c r="H435" s="90"/>
      <c r="I435" s="123">
        <f>IFERROR(VLOOKUP(E435,ProductMaster!B:G,6,FALSE),0)</f>
        <v>0</v>
      </c>
      <c r="J435" s="123">
        <f t="shared" si="39"/>
        <v>0</v>
      </c>
      <c r="K435" s="123">
        <f t="shared" si="40"/>
        <v>0</v>
      </c>
      <c r="L435" s="91"/>
      <c r="M435" s="92"/>
      <c r="N435" s="92"/>
      <c r="O435" s="93">
        <v>0</v>
      </c>
      <c r="P435" s="86"/>
      <c r="Q435" s="82">
        <f t="shared" si="41"/>
        <v>246</v>
      </c>
    </row>
    <row r="436" spans="1:17" ht="20.25" customHeight="1">
      <c r="A436" s="85"/>
      <c r="B436" s="102"/>
      <c r="C436" s="86"/>
      <c r="D436" s="87"/>
      <c r="E436" s="88" t="str">
        <f>IFERROR(VLOOKUP(D436,ProductMaster!$A:$B,2,FALSE),"")</f>
        <v/>
      </c>
      <c r="F436" s="88" t="str">
        <f>IFERROR(VLOOKUP(D436,ProductMaster!$A:$C,3,FALSE),"")</f>
        <v/>
      </c>
      <c r="G436" s="89" t="str">
        <f>IFERROR(VLOOKUP($D436,ProductMaster!$A:$O,4,FALSE),"")</f>
        <v/>
      </c>
      <c r="H436" s="90"/>
      <c r="I436" s="123">
        <f>IFERROR(VLOOKUP(E436,ProductMaster!B:G,6,FALSE),0)</f>
        <v>0</v>
      </c>
      <c r="J436" s="123">
        <f t="shared" si="39"/>
        <v>0</v>
      </c>
      <c r="K436" s="123">
        <f t="shared" si="40"/>
        <v>0</v>
      </c>
      <c r="L436" s="91"/>
      <c r="M436" s="92"/>
      <c r="N436" s="92"/>
      <c r="O436" s="93">
        <v>0</v>
      </c>
      <c r="P436" s="86"/>
      <c r="Q436" s="82">
        <f t="shared" si="41"/>
        <v>247</v>
      </c>
    </row>
    <row r="437" spans="1:17" ht="20.25" customHeight="1">
      <c r="A437" s="85"/>
      <c r="B437" s="102"/>
      <c r="C437" s="86"/>
      <c r="D437" s="87"/>
      <c r="E437" s="88" t="str">
        <f>IFERROR(VLOOKUP(D437,ProductMaster!$A:$B,2,FALSE),"")</f>
        <v/>
      </c>
      <c r="F437" s="88" t="str">
        <f>IFERROR(VLOOKUP(D437,ProductMaster!$A:$C,3,FALSE),"")</f>
        <v/>
      </c>
      <c r="G437" s="89" t="str">
        <f>IFERROR(VLOOKUP($D437,ProductMaster!$A:$O,4,FALSE),"")</f>
        <v/>
      </c>
      <c r="H437" s="90"/>
      <c r="I437" s="123">
        <f>IFERROR(VLOOKUP(E437,ProductMaster!B:G,6,FALSE),0)</f>
        <v>0</v>
      </c>
      <c r="J437" s="123">
        <f t="shared" si="39"/>
        <v>0</v>
      </c>
      <c r="K437" s="123">
        <f t="shared" si="40"/>
        <v>0</v>
      </c>
      <c r="L437" s="91"/>
      <c r="M437" s="92"/>
      <c r="N437" s="92"/>
      <c r="O437" s="93">
        <v>0</v>
      </c>
      <c r="P437" s="86"/>
      <c r="Q437" s="82">
        <f t="shared" si="41"/>
        <v>248</v>
      </c>
    </row>
    <row r="438" spans="1:17" ht="20.25" customHeight="1">
      <c r="A438" s="85"/>
      <c r="B438" s="102"/>
      <c r="C438" s="86"/>
      <c r="D438" s="87"/>
      <c r="E438" s="88" t="str">
        <f>IFERROR(VLOOKUP(D438,ProductMaster!$A:$B,2,FALSE),"")</f>
        <v/>
      </c>
      <c r="F438" s="88" t="str">
        <f>IFERROR(VLOOKUP(D438,ProductMaster!$A:$C,3,FALSE),"")</f>
        <v/>
      </c>
      <c r="G438" s="89" t="str">
        <f>IFERROR(VLOOKUP($D438,ProductMaster!$A:$O,4,FALSE),"")</f>
        <v/>
      </c>
      <c r="H438" s="90"/>
      <c r="I438" s="123">
        <f>IFERROR(VLOOKUP(E438,ProductMaster!B:G,6,FALSE),0)</f>
        <v>0</v>
      </c>
      <c r="J438" s="123">
        <f t="shared" si="39"/>
        <v>0</v>
      </c>
      <c r="K438" s="123">
        <f t="shared" si="40"/>
        <v>0</v>
      </c>
      <c r="L438" s="91"/>
      <c r="M438" s="92"/>
      <c r="N438" s="92"/>
      <c r="O438" s="93">
        <v>0</v>
      </c>
      <c r="P438" s="86"/>
      <c r="Q438" s="82">
        <f t="shared" si="41"/>
        <v>249</v>
      </c>
    </row>
    <row r="439" spans="1:17" ht="20.25" customHeight="1">
      <c r="A439" s="85"/>
      <c r="B439" s="102"/>
      <c r="C439" s="86"/>
      <c r="D439" s="87"/>
      <c r="E439" s="88" t="str">
        <f>IFERROR(VLOOKUP(D439,ProductMaster!$A:$B,2,FALSE),"")</f>
        <v/>
      </c>
      <c r="F439" s="88" t="str">
        <f>IFERROR(VLOOKUP(D439,ProductMaster!$A:$C,3,FALSE),"")</f>
        <v/>
      </c>
      <c r="G439" s="89" t="str">
        <f>IFERROR(VLOOKUP($D439,ProductMaster!$A:$O,4,FALSE),"")</f>
        <v/>
      </c>
      <c r="H439" s="90"/>
      <c r="I439" s="123">
        <f>IFERROR(VLOOKUP(E439,ProductMaster!B:G,6,FALSE),0)</f>
        <v>0</v>
      </c>
      <c r="J439" s="123">
        <f t="shared" si="39"/>
        <v>0</v>
      </c>
      <c r="K439" s="123">
        <f t="shared" si="40"/>
        <v>0</v>
      </c>
      <c r="L439" s="91"/>
      <c r="M439" s="92"/>
      <c r="N439" s="92"/>
      <c r="O439" s="93">
        <v>0</v>
      </c>
      <c r="P439" s="86"/>
      <c r="Q439" s="82">
        <f t="shared" si="41"/>
        <v>250</v>
      </c>
    </row>
    <row r="440" spans="1:17" ht="20.25" customHeight="1">
      <c r="A440" s="85"/>
      <c r="B440" s="102"/>
      <c r="C440" s="86"/>
      <c r="D440" s="87"/>
      <c r="E440" s="88" t="str">
        <f>IFERROR(VLOOKUP(D440,ProductMaster!$A:$B,2,FALSE),"")</f>
        <v/>
      </c>
      <c r="F440" s="88" t="str">
        <f>IFERROR(VLOOKUP(D440,ProductMaster!$A:$C,3,FALSE),"")</f>
        <v/>
      </c>
      <c r="G440" s="89" t="str">
        <f>IFERROR(VLOOKUP($D440,ProductMaster!$A:$O,4,FALSE),"")</f>
        <v/>
      </c>
      <c r="H440" s="90"/>
      <c r="I440" s="123">
        <f>IFERROR(VLOOKUP(E440,ProductMaster!B:G,6,FALSE),0)</f>
        <v>0</v>
      </c>
      <c r="J440" s="123">
        <f t="shared" si="39"/>
        <v>0</v>
      </c>
      <c r="K440" s="123">
        <f t="shared" si="40"/>
        <v>0</v>
      </c>
      <c r="L440" s="91"/>
      <c r="M440" s="92"/>
      <c r="N440" s="92"/>
      <c r="O440" s="93">
        <v>0</v>
      </c>
      <c r="P440" s="86"/>
      <c r="Q440" s="82">
        <f t="shared" si="41"/>
        <v>251</v>
      </c>
    </row>
    <row r="441" spans="1:17" ht="20.25" customHeight="1">
      <c r="A441" s="85"/>
      <c r="B441" s="102"/>
      <c r="C441" s="86"/>
      <c r="D441" s="87"/>
      <c r="E441" s="88" t="str">
        <f>IFERROR(VLOOKUP(D441,ProductMaster!$A:$B,2,FALSE),"")</f>
        <v/>
      </c>
      <c r="F441" s="88" t="str">
        <f>IFERROR(VLOOKUP(D441,ProductMaster!$A:$C,3,FALSE),"")</f>
        <v/>
      </c>
      <c r="G441" s="89" t="str">
        <f>IFERROR(VLOOKUP($D441,ProductMaster!$A:$O,4,FALSE),"")</f>
        <v/>
      </c>
      <c r="H441" s="90"/>
      <c r="I441" s="123">
        <f>IFERROR(VLOOKUP(E441,ProductMaster!B:G,6,FALSE),0)</f>
        <v>0</v>
      </c>
      <c r="J441" s="123">
        <f t="shared" si="39"/>
        <v>0</v>
      </c>
      <c r="K441" s="123">
        <f t="shared" si="40"/>
        <v>0</v>
      </c>
      <c r="L441" s="91"/>
      <c r="M441" s="92"/>
      <c r="N441" s="92"/>
      <c r="O441" s="93">
        <v>0</v>
      </c>
      <c r="P441" s="86"/>
      <c r="Q441" s="82">
        <f t="shared" si="41"/>
        <v>252</v>
      </c>
    </row>
    <row r="442" spans="1:17" ht="20.25" customHeight="1">
      <c r="A442" s="85"/>
      <c r="B442" s="102"/>
      <c r="C442" s="86"/>
      <c r="D442" s="87"/>
      <c r="E442" s="88" t="str">
        <f>IFERROR(VLOOKUP(D442,ProductMaster!$A:$B,2,FALSE),"")</f>
        <v/>
      </c>
      <c r="F442" s="88" t="str">
        <f>IFERROR(VLOOKUP(D442,ProductMaster!$A:$C,3,FALSE),"")</f>
        <v/>
      </c>
      <c r="G442" s="89" t="str">
        <f>IFERROR(VLOOKUP($D442,ProductMaster!$A:$O,4,FALSE),"")</f>
        <v/>
      </c>
      <c r="H442" s="90"/>
      <c r="I442" s="123">
        <f>IFERROR(VLOOKUP(E442,ProductMaster!B:G,6,FALSE),0)</f>
        <v>0</v>
      </c>
      <c r="J442" s="123">
        <f t="shared" si="39"/>
        <v>0</v>
      </c>
      <c r="K442" s="123">
        <f t="shared" si="40"/>
        <v>0</v>
      </c>
      <c r="L442" s="91"/>
      <c r="M442" s="92"/>
      <c r="N442" s="92"/>
      <c r="O442" s="93">
        <v>0</v>
      </c>
      <c r="P442" s="86"/>
      <c r="Q442" s="82">
        <f t="shared" si="41"/>
        <v>253</v>
      </c>
    </row>
    <row r="443" spans="1:17" ht="20.25" customHeight="1">
      <c r="A443" s="85"/>
      <c r="B443" s="102"/>
      <c r="C443" s="86"/>
      <c r="D443" s="87"/>
      <c r="E443" s="88" t="str">
        <f>IFERROR(VLOOKUP(D443,ProductMaster!$A:$B,2,FALSE),"")</f>
        <v/>
      </c>
      <c r="F443" s="88" t="str">
        <f>IFERROR(VLOOKUP(D443,ProductMaster!$A:$C,3,FALSE),"")</f>
        <v/>
      </c>
      <c r="G443" s="89" t="str">
        <f>IFERROR(VLOOKUP($D443,ProductMaster!$A:$O,4,FALSE),"")</f>
        <v/>
      </c>
      <c r="H443" s="90"/>
      <c r="I443" s="123">
        <f>IFERROR(VLOOKUP(E443,ProductMaster!B:G,6,FALSE),0)</f>
        <v>0</v>
      </c>
      <c r="J443" s="123">
        <f t="shared" si="39"/>
        <v>0</v>
      </c>
      <c r="K443" s="123">
        <f t="shared" si="40"/>
        <v>0</v>
      </c>
      <c r="L443" s="91"/>
      <c r="M443" s="92"/>
      <c r="N443" s="92"/>
      <c r="O443" s="93">
        <v>0</v>
      </c>
      <c r="P443" s="86"/>
      <c r="Q443" s="82">
        <f t="shared" si="41"/>
        <v>254</v>
      </c>
    </row>
    <row r="444" spans="1:17" ht="20.25" customHeight="1">
      <c r="A444" s="85"/>
      <c r="B444" s="102"/>
      <c r="C444" s="86"/>
      <c r="D444" s="87"/>
      <c r="E444" s="88" t="str">
        <f>IFERROR(VLOOKUP(D444,ProductMaster!$A:$B,2,FALSE),"")</f>
        <v/>
      </c>
      <c r="F444" s="88" t="str">
        <f>IFERROR(VLOOKUP(D444,ProductMaster!$A:$C,3,FALSE),"")</f>
        <v/>
      </c>
      <c r="G444" s="89" t="str">
        <f>IFERROR(VLOOKUP($D444,ProductMaster!$A:$O,4,FALSE),"")</f>
        <v/>
      </c>
      <c r="H444" s="90"/>
      <c r="I444" s="123">
        <f>IFERROR(VLOOKUP(E444,ProductMaster!B:G,6,FALSE),0)</f>
        <v>0</v>
      </c>
      <c r="J444" s="123">
        <f t="shared" si="39"/>
        <v>0</v>
      </c>
      <c r="K444" s="123">
        <f t="shared" si="40"/>
        <v>0</v>
      </c>
      <c r="L444" s="91"/>
      <c r="M444" s="92"/>
      <c r="N444" s="92"/>
      <c r="O444" s="93">
        <v>0</v>
      </c>
      <c r="P444" s="86"/>
      <c r="Q444" s="82">
        <f t="shared" si="41"/>
        <v>255</v>
      </c>
    </row>
    <row r="445" spans="1:17" ht="20.25" customHeight="1">
      <c r="A445" s="85"/>
      <c r="B445" s="102"/>
      <c r="C445" s="86"/>
      <c r="D445" s="87"/>
      <c r="E445" s="88" t="str">
        <f>IFERROR(VLOOKUP(D445,ProductMaster!$A:$B,2,FALSE),"")</f>
        <v/>
      </c>
      <c r="F445" s="88" t="str">
        <f>IFERROR(VLOOKUP(D445,ProductMaster!$A:$C,3,FALSE),"")</f>
        <v/>
      </c>
      <c r="G445" s="89" t="str">
        <f>IFERROR(VLOOKUP($D445,ProductMaster!$A:$O,4,FALSE),"")</f>
        <v/>
      </c>
      <c r="H445" s="90"/>
      <c r="I445" s="123">
        <f>IFERROR(VLOOKUP(E445,ProductMaster!B:G,6,FALSE),0)</f>
        <v>0</v>
      </c>
      <c r="J445" s="123">
        <f t="shared" si="39"/>
        <v>0</v>
      </c>
      <c r="K445" s="123">
        <f t="shared" si="40"/>
        <v>0</v>
      </c>
      <c r="L445" s="91"/>
      <c r="M445" s="92"/>
      <c r="N445" s="92"/>
      <c r="O445" s="93">
        <v>0</v>
      </c>
      <c r="P445" s="86"/>
      <c r="Q445" s="82">
        <f t="shared" si="41"/>
        <v>256</v>
      </c>
    </row>
    <row r="446" spans="1:17" ht="20.25" customHeight="1">
      <c r="A446" s="85"/>
      <c r="B446" s="102"/>
      <c r="C446" s="86"/>
      <c r="D446" s="87"/>
      <c r="E446" s="88" t="str">
        <f>IFERROR(VLOOKUP(D446,ProductMaster!$A:$B,2,FALSE),"")</f>
        <v/>
      </c>
      <c r="F446" s="88" t="str">
        <f>IFERROR(VLOOKUP(D446,ProductMaster!$A:$C,3,FALSE),"")</f>
        <v/>
      </c>
      <c r="G446" s="89" t="str">
        <f>IFERROR(VLOOKUP($D446,ProductMaster!$A:$O,4,FALSE),"")</f>
        <v/>
      </c>
      <c r="H446" s="90"/>
      <c r="I446" s="123">
        <f>IFERROR(VLOOKUP(E446,ProductMaster!B:G,6,FALSE),0)</f>
        <v>0</v>
      </c>
      <c r="J446" s="123">
        <f t="shared" si="39"/>
        <v>0</v>
      </c>
      <c r="K446" s="123">
        <f t="shared" si="40"/>
        <v>0</v>
      </c>
      <c r="L446" s="91"/>
      <c r="M446" s="92"/>
      <c r="N446" s="92"/>
      <c r="O446" s="93">
        <v>0</v>
      </c>
      <c r="P446" s="86"/>
      <c r="Q446" s="82">
        <f t="shared" si="41"/>
        <v>257</v>
      </c>
    </row>
    <row r="447" spans="1:17" ht="20.25" customHeight="1">
      <c r="A447" s="85"/>
      <c r="B447" s="102"/>
      <c r="C447" s="86"/>
      <c r="D447" s="87"/>
      <c r="E447" s="88" t="str">
        <f>IFERROR(VLOOKUP(D447,ProductMaster!$A:$B,2,FALSE),"")</f>
        <v/>
      </c>
      <c r="F447" s="88" t="str">
        <f>IFERROR(VLOOKUP(D447,ProductMaster!$A:$C,3,FALSE),"")</f>
        <v/>
      </c>
      <c r="G447" s="89" t="str">
        <f>IFERROR(VLOOKUP($D447,ProductMaster!$A:$O,4,FALSE),"")</f>
        <v/>
      </c>
      <c r="H447" s="90"/>
      <c r="I447" s="123">
        <f>IFERROR(VLOOKUP(E447,ProductMaster!B:G,6,FALSE),0)</f>
        <v>0</v>
      </c>
      <c r="J447" s="123">
        <f t="shared" si="39"/>
        <v>0</v>
      </c>
      <c r="K447" s="123">
        <f t="shared" si="40"/>
        <v>0</v>
      </c>
      <c r="L447" s="91"/>
      <c r="M447" s="92"/>
      <c r="N447" s="92"/>
      <c r="O447" s="93">
        <v>0</v>
      </c>
      <c r="P447" s="86"/>
      <c r="Q447" s="82">
        <f t="shared" si="41"/>
        <v>258</v>
      </c>
    </row>
    <row r="448" spans="1:17" ht="20.25" customHeight="1">
      <c r="A448" s="85"/>
      <c r="B448" s="102"/>
      <c r="C448" s="86"/>
      <c r="D448" s="87"/>
      <c r="E448" s="88" t="str">
        <f>IFERROR(VLOOKUP(D448,ProductMaster!$A:$B,2,FALSE),"")</f>
        <v/>
      </c>
      <c r="F448" s="88" t="str">
        <f>IFERROR(VLOOKUP(D448,ProductMaster!$A:$C,3,FALSE),"")</f>
        <v/>
      </c>
      <c r="G448" s="89" t="str">
        <f>IFERROR(VLOOKUP($D448,ProductMaster!$A:$O,4,FALSE),"")</f>
        <v/>
      </c>
      <c r="H448" s="90"/>
      <c r="I448" s="123">
        <f>IFERROR(VLOOKUP(E448,ProductMaster!B:G,6,FALSE),0)</f>
        <v>0</v>
      </c>
      <c r="J448" s="123">
        <f t="shared" si="39"/>
        <v>0</v>
      </c>
      <c r="K448" s="123">
        <f t="shared" si="40"/>
        <v>0</v>
      </c>
      <c r="L448" s="91"/>
      <c r="M448" s="92"/>
      <c r="N448" s="92"/>
      <c r="O448" s="93">
        <v>0</v>
      </c>
      <c r="P448" s="86"/>
      <c r="Q448" s="82">
        <f t="shared" si="41"/>
        <v>259</v>
      </c>
    </row>
    <row r="449" spans="1:17" ht="20.25" customHeight="1">
      <c r="A449" s="85"/>
      <c r="B449" s="102"/>
      <c r="C449" s="86"/>
      <c r="D449" s="87"/>
      <c r="E449" s="88" t="str">
        <f>IFERROR(VLOOKUP(D449,ProductMaster!$A:$B,2,FALSE),"")</f>
        <v/>
      </c>
      <c r="F449" s="88" t="str">
        <f>IFERROR(VLOOKUP(D449,ProductMaster!$A:$C,3,FALSE),"")</f>
        <v/>
      </c>
      <c r="G449" s="89" t="str">
        <f>IFERROR(VLOOKUP($D449,ProductMaster!$A:$O,4,FALSE),"")</f>
        <v/>
      </c>
      <c r="H449" s="90"/>
      <c r="I449" s="123">
        <f>IFERROR(VLOOKUP(E449,ProductMaster!B:G,6,FALSE),0)</f>
        <v>0</v>
      </c>
      <c r="J449" s="123">
        <f t="shared" si="39"/>
        <v>0</v>
      </c>
      <c r="K449" s="123">
        <f t="shared" si="40"/>
        <v>0</v>
      </c>
      <c r="L449" s="91"/>
      <c r="M449" s="92"/>
      <c r="N449" s="92"/>
      <c r="O449" s="93">
        <v>0</v>
      </c>
      <c r="P449" s="86"/>
      <c r="Q449" s="82">
        <f t="shared" si="41"/>
        <v>260</v>
      </c>
    </row>
    <row r="450" spans="1:17" ht="20.25" customHeight="1">
      <c r="A450" s="85"/>
      <c r="B450" s="102"/>
      <c r="C450" s="86"/>
      <c r="D450" s="87"/>
      <c r="E450" s="88" t="str">
        <f>IFERROR(VLOOKUP(D450,ProductMaster!$A:$B,2,FALSE),"")</f>
        <v/>
      </c>
      <c r="F450" s="88" t="str">
        <f>IFERROR(VLOOKUP(D450,ProductMaster!$A:$C,3,FALSE),"")</f>
        <v/>
      </c>
      <c r="G450" s="89" t="str">
        <f>IFERROR(VLOOKUP($D450,ProductMaster!$A:$O,4,FALSE),"")</f>
        <v/>
      </c>
      <c r="H450" s="90"/>
      <c r="I450" s="123">
        <f>IFERROR(VLOOKUP(E450,ProductMaster!B:G,6,FALSE),0)</f>
        <v>0</v>
      </c>
      <c r="J450" s="123">
        <f t="shared" ref="J450:J500" si="42">ROUND(SUM(I450*7%),2)</f>
        <v>0</v>
      </c>
      <c r="K450" s="123">
        <f t="shared" ref="K450:K500" si="43">ROUND(SUM(H450*I450),2)</f>
        <v>0</v>
      </c>
      <c r="L450" s="91"/>
      <c r="M450" s="92"/>
      <c r="N450" s="92"/>
      <c r="O450" s="93">
        <v>0</v>
      </c>
      <c r="P450" s="86"/>
      <c r="Q450" s="82">
        <f t="shared" ref="Q450:Q500" si="44">IF(B450=B449,Q449+1,1)</f>
        <v>261</v>
      </c>
    </row>
    <row r="451" spans="1:17" ht="20.25" customHeight="1">
      <c r="A451" s="85"/>
      <c r="B451" s="102"/>
      <c r="C451" s="86"/>
      <c r="D451" s="87"/>
      <c r="E451" s="88" t="str">
        <f>IFERROR(VLOOKUP(D451,ProductMaster!$A:$B,2,FALSE),"")</f>
        <v/>
      </c>
      <c r="F451" s="88" t="str">
        <f>IFERROR(VLOOKUP(D451,ProductMaster!$A:$C,3,FALSE),"")</f>
        <v/>
      </c>
      <c r="G451" s="89" t="str">
        <f>IFERROR(VLOOKUP($D451,ProductMaster!$A:$O,4,FALSE),"")</f>
        <v/>
      </c>
      <c r="H451" s="90"/>
      <c r="I451" s="123">
        <f>IFERROR(VLOOKUP(E451,ProductMaster!B:G,6,FALSE),0)</f>
        <v>0</v>
      </c>
      <c r="J451" s="123">
        <f t="shared" si="42"/>
        <v>0</v>
      </c>
      <c r="K451" s="123">
        <f t="shared" si="43"/>
        <v>0</v>
      </c>
      <c r="L451" s="91"/>
      <c r="M451" s="92"/>
      <c r="N451" s="92"/>
      <c r="O451" s="93">
        <v>0</v>
      </c>
      <c r="P451" s="86"/>
      <c r="Q451" s="82">
        <f t="shared" si="44"/>
        <v>262</v>
      </c>
    </row>
    <row r="452" spans="1:17" ht="20.25" customHeight="1">
      <c r="A452" s="85"/>
      <c r="B452" s="102"/>
      <c r="C452" s="86"/>
      <c r="D452" s="87"/>
      <c r="E452" s="88" t="str">
        <f>IFERROR(VLOOKUP(D452,ProductMaster!$A:$B,2,FALSE),"")</f>
        <v/>
      </c>
      <c r="F452" s="88" t="str">
        <f>IFERROR(VLOOKUP(D452,ProductMaster!$A:$C,3,FALSE),"")</f>
        <v/>
      </c>
      <c r="G452" s="89" t="str">
        <f>IFERROR(VLOOKUP($D452,ProductMaster!$A:$O,4,FALSE),"")</f>
        <v/>
      </c>
      <c r="H452" s="90"/>
      <c r="I452" s="123">
        <f>IFERROR(VLOOKUP(E452,ProductMaster!B:G,6,FALSE),0)</f>
        <v>0</v>
      </c>
      <c r="J452" s="123">
        <f t="shared" si="42"/>
        <v>0</v>
      </c>
      <c r="K452" s="123">
        <f t="shared" si="43"/>
        <v>0</v>
      </c>
      <c r="L452" s="91"/>
      <c r="M452" s="92"/>
      <c r="N452" s="92"/>
      <c r="O452" s="93">
        <v>0</v>
      </c>
      <c r="P452" s="86"/>
      <c r="Q452" s="82">
        <f t="shared" si="44"/>
        <v>263</v>
      </c>
    </row>
    <row r="453" spans="1:17" ht="20.25" customHeight="1">
      <c r="A453" s="85"/>
      <c r="B453" s="102"/>
      <c r="C453" s="86"/>
      <c r="D453" s="87"/>
      <c r="E453" s="88" t="str">
        <f>IFERROR(VLOOKUP(D453,ProductMaster!$A:$B,2,FALSE),"")</f>
        <v/>
      </c>
      <c r="F453" s="88" t="str">
        <f>IFERROR(VLOOKUP(D453,ProductMaster!$A:$C,3,FALSE),"")</f>
        <v/>
      </c>
      <c r="G453" s="89" t="str">
        <f>IFERROR(VLOOKUP($D453,ProductMaster!$A:$O,4,FALSE),"")</f>
        <v/>
      </c>
      <c r="H453" s="90"/>
      <c r="I453" s="123">
        <f>IFERROR(VLOOKUP(E453,ProductMaster!B:G,6,FALSE),0)</f>
        <v>0</v>
      </c>
      <c r="J453" s="123">
        <f t="shared" si="42"/>
        <v>0</v>
      </c>
      <c r="K453" s="123">
        <f t="shared" si="43"/>
        <v>0</v>
      </c>
      <c r="L453" s="91"/>
      <c r="M453" s="92"/>
      <c r="N453" s="92"/>
      <c r="O453" s="93">
        <v>0</v>
      </c>
      <c r="P453" s="86"/>
      <c r="Q453" s="82">
        <f t="shared" si="44"/>
        <v>264</v>
      </c>
    </row>
    <row r="454" spans="1:17" ht="20.25" customHeight="1">
      <c r="A454" s="85"/>
      <c r="B454" s="102"/>
      <c r="C454" s="86"/>
      <c r="D454" s="87"/>
      <c r="E454" s="88" t="str">
        <f>IFERROR(VLOOKUP(D454,ProductMaster!$A:$B,2,FALSE),"")</f>
        <v/>
      </c>
      <c r="F454" s="88" t="str">
        <f>IFERROR(VLOOKUP(D454,ProductMaster!$A:$C,3,FALSE),"")</f>
        <v/>
      </c>
      <c r="G454" s="89" t="str">
        <f>IFERROR(VLOOKUP($D454,ProductMaster!$A:$O,4,FALSE),"")</f>
        <v/>
      </c>
      <c r="H454" s="90"/>
      <c r="I454" s="123">
        <f>IFERROR(VLOOKUP(E454,ProductMaster!B:G,6,FALSE),0)</f>
        <v>0</v>
      </c>
      <c r="J454" s="123">
        <f t="shared" si="42"/>
        <v>0</v>
      </c>
      <c r="K454" s="123">
        <f t="shared" si="43"/>
        <v>0</v>
      </c>
      <c r="L454" s="91"/>
      <c r="M454" s="92"/>
      <c r="N454" s="92"/>
      <c r="O454" s="93">
        <v>0</v>
      </c>
      <c r="P454" s="86"/>
      <c r="Q454" s="82">
        <f t="shared" si="44"/>
        <v>265</v>
      </c>
    </row>
    <row r="455" spans="1:17" ht="20.25" customHeight="1">
      <c r="A455" s="85"/>
      <c r="B455" s="102"/>
      <c r="C455" s="86"/>
      <c r="D455" s="87"/>
      <c r="E455" s="88" t="str">
        <f>IFERROR(VLOOKUP(D455,ProductMaster!$A:$B,2,FALSE),"")</f>
        <v/>
      </c>
      <c r="F455" s="88" t="str">
        <f>IFERROR(VLOOKUP(D455,ProductMaster!$A:$C,3,FALSE),"")</f>
        <v/>
      </c>
      <c r="G455" s="89" t="str">
        <f>IFERROR(VLOOKUP($D455,ProductMaster!$A:$O,4,FALSE),"")</f>
        <v/>
      </c>
      <c r="H455" s="90"/>
      <c r="I455" s="123">
        <f>IFERROR(VLOOKUP(E455,ProductMaster!B:G,6,FALSE),0)</f>
        <v>0</v>
      </c>
      <c r="J455" s="123">
        <f t="shared" si="42"/>
        <v>0</v>
      </c>
      <c r="K455" s="123">
        <f t="shared" si="43"/>
        <v>0</v>
      </c>
      <c r="L455" s="91"/>
      <c r="M455" s="92"/>
      <c r="N455" s="92"/>
      <c r="O455" s="93">
        <v>0</v>
      </c>
      <c r="P455" s="86"/>
      <c r="Q455" s="82">
        <f t="shared" si="44"/>
        <v>266</v>
      </c>
    </row>
    <row r="456" spans="1:17" ht="20.25" customHeight="1">
      <c r="A456" s="85"/>
      <c r="B456" s="102"/>
      <c r="C456" s="86"/>
      <c r="D456" s="87"/>
      <c r="E456" s="88" t="str">
        <f>IFERROR(VLOOKUP(D456,ProductMaster!$A:$B,2,FALSE),"")</f>
        <v/>
      </c>
      <c r="F456" s="88" t="str">
        <f>IFERROR(VLOOKUP(D456,ProductMaster!$A:$C,3,FALSE),"")</f>
        <v/>
      </c>
      <c r="G456" s="89" t="str">
        <f>IFERROR(VLOOKUP($D456,ProductMaster!$A:$O,4,FALSE),"")</f>
        <v/>
      </c>
      <c r="H456" s="90"/>
      <c r="I456" s="123">
        <f>IFERROR(VLOOKUP(E456,ProductMaster!B:G,6,FALSE),0)</f>
        <v>0</v>
      </c>
      <c r="J456" s="123">
        <f t="shared" si="42"/>
        <v>0</v>
      </c>
      <c r="K456" s="123">
        <f t="shared" si="43"/>
        <v>0</v>
      </c>
      <c r="L456" s="91"/>
      <c r="M456" s="92"/>
      <c r="N456" s="92"/>
      <c r="O456" s="93">
        <v>0</v>
      </c>
      <c r="P456" s="86"/>
      <c r="Q456" s="82">
        <f t="shared" si="44"/>
        <v>267</v>
      </c>
    </row>
    <row r="457" spans="1:17" ht="20.25" customHeight="1">
      <c r="A457" s="85"/>
      <c r="B457" s="102"/>
      <c r="C457" s="86"/>
      <c r="D457" s="87"/>
      <c r="E457" s="88" t="str">
        <f>IFERROR(VLOOKUP(D457,ProductMaster!$A:$B,2,FALSE),"")</f>
        <v/>
      </c>
      <c r="F457" s="88" t="str">
        <f>IFERROR(VLOOKUP(D457,ProductMaster!$A:$C,3,FALSE),"")</f>
        <v/>
      </c>
      <c r="G457" s="89" t="str">
        <f>IFERROR(VLOOKUP($D457,ProductMaster!$A:$O,4,FALSE),"")</f>
        <v/>
      </c>
      <c r="H457" s="90"/>
      <c r="I457" s="123">
        <f>IFERROR(VLOOKUP(E457,ProductMaster!B:G,6,FALSE),0)</f>
        <v>0</v>
      </c>
      <c r="J457" s="123">
        <f t="shared" si="42"/>
        <v>0</v>
      </c>
      <c r="K457" s="123">
        <f t="shared" si="43"/>
        <v>0</v>
      </c>
      <c r="L457" s="91"/>
      <c r="M457" s="92"/>
      <c r="N457" s="92"/>
      <c r="O457" s="93">
        <v>0</v>
      </c>
      <c r="P457" s="86"/>
      <c r="Q457" s="82">
        <f t="shared" si="44"/>
        <v>268</v>
      </c>
    </row>
    <row r="458" spans="1:17" ht="20.25" customHeight="1">
      <c r="A458" s="85"/>
      <c r="B458" s="102"/>
      <c r="C458" s="86"/>
      <c r="D458" s="87"/>
      <c r="E458" s="88" t="str">
        <f>IFERROR(VLOOKUP(D458,ProductMaster!$A:$B,2,FALSE),"")</f>
        <v/>
      </c>
      <c r="F458" s="88" t="str">
        <f>IFERROR(VLOOKUP(D458,ProductMaster!$A:$C,3,FALSE),"")</f>
        <v/>
      </c>
      <c r="G458" s="89" t="str">
        <f>IFERROR(VLOOKUP($D458,ProductMaster!$A:$O,4,FALSE),"")</f>
        <v/>
      </c>
      <c r="H458" s="90"/>
      <c r="I458" s="123">
        <f>IFERROR(VLOOKUP(E458,ProductMaster!B:G,6,FALSE),0)</f>
        <v>0</v>
      </c>
      <c r="J458" s="123">
        <f t="shared" si="42"/>
        <v>0</v>
      </c>
      <c r="K458" s="123">
        <f t="shared" si="43"/>
        <v>0</v>
      </c>
      <c r="L458" s="91"/>
      <c r="M458" s="92"/>
      <c r="N458" s="92"/>
      <c r="O458" s="93">
        <v>0</v>
      </c>
      <c r="P458" s="86"/>
      <c r="Q458" s="82">
        <f t="shared" si="44"/>
        <v>269</v>
      </c>
    </row>
    <row r="459" spans="1:17" ht="20.25" customHeight="1">
      <c r="A459" s="85"/>
      <c r="B459" s="102"/>
      <c r="C459" s="86"/>
      <c r="D459" s="87"/>
      <c r="E459" s="88" t="str">
        <f>IFERROR(VLOOKUP(D459,ProductMaster!$A:$B,2,FALSE),"")</f>
        <v/>
      </c>
      <c r="F459" s="88" t="str">
        <f>IFERROR(VLOOKUP(D459,ProductMaster!$A:$C,3,FALSE),"")</f>
        <v/>
      </c>
      <c r="G459" s="89" t="str">
        <f>IFERROR(VLOOKUP($D459,ProductMaster!$A:$O,4,FALSE),"")</f>
        <v/>
      </c>
      <c r="H459" s="90"/>
      <c r="I459" s="123">
        <f>IFERROR(VLOOKUP(E459,ProductMaster!B:G,6,FALSE),0)</f>
        <v>0</v>
      </c>
      <c r="J459" s="123">
        <f t="shared" si="42"/>
        <v>0</v>
      </c>
      <c r="K459" s="123">
        <f t="shared" si="43"/>
        <v>0</v>
      </c>
      <c r="L459" s="91"/>
      <c r="M459" s="92"/>
      <c r="N459" s="92"/>
      <c r="O459" s="93">
        <v>0</v>
      </c>
      <c r="P459" s="86"/>
      <c r="Q459" s="82">
        <f t="shared" si="44"/>
        <v>270</v>
      </c>
    </row>
    <row r="460" spans="1:17" ht="20.25" customHeight="1">
      <c r="A460" s="85"/>
      <c r="B460" s="102"/>
      <c r="C460" s="86"/>
      <c r="D460" s="87"/>
      <c r="E460" s="88" t="str">
        <f>IFERROR(VLOOKUP(D460,ProductMaster!$A:$B,2,FALSE),"")</f>
        <v/>
      </c>
      <c r="F460" s="88" t="str">
        <f>IFERROR(VLOOKUP(D460,ProductMaster!$A:$C,3,FALSE),"")</f>
        <v/>
      </c>
      <c r="G460" s="89" t="str">
        <f>IFERROR(VLOOKUP($D460,ProductMaster!$A:$O,4,FALSE),"")</f>
        <v/>
      </c>
      <c r="H460" s="90"/>
      <c r="I460" s="123">
        <f>IFERROR(VLOOKUP(E460,ProductMaster!B:G,6,FALSE),0)</f>
        <v>0</v>
      </c>
      <c r="J460" s="123">
        <f t="shared" si="42"/>
        <v>0</v>
      </c>
      <c r="K460" s="123">
        <f t="shared" si="43"/>
        <v>0</v>
      </c>
      <c r="L460" s="91"/>
      <c r="M460" s="92"/>
      <c r="N460" s="92"/>
      <c r="O460" s="93">
        <v>0</v>
      </c>
      <c r="P460" s="86"/>
      <c r="Q460" s="82">
        <f t="shared" si="44"/>
        <v>271</v>
      </c>
    </row>
    <row r="461" spans="1:17" ht="20.25" customHeight="1">
      <c r="A461" s="85"/>
      <c r="B461" s="102"/>
      <c r="C461" s="86"/>
      <c r="D461" s="87"/>
      <c r="E461" s="88" t="str">
        <f>IFERROR(VLOOKUP(D461,ProductMaster!$A:$B,2,FALSE),"")</f>
        <v/>
      </c>
      <c r="F461" s="88" t="str">
        <f>IFERROR(VLOOKUP(D461,ProductMaster!$A:$C,3,FALSE),"")</f>
        <v/>
      </c>
      <c r="G461" s="89" t="str">
        <f>IFERROR(VLOOKUP($D461,ProductMaster!$A:$O,4,FALSE),"")</f>
        <v/>
      </c>
      <c r="H461" s="90"/>
      <c r="I461" s="123">
        <f>IFERROR(VLOOKUP(E461,ProductMaster!B:G,6,FALSE),0)</f>
        <v>0</v>
      </c>
      <c r="J461" s="123">
        <f t="shared" si="42"/>
        <v>0</v>
      </c>
      <c r="K461" s="123">
        <f t="shared" si="43"/>
        <v>0</v>
      </c>
      <c r="L461" s="91"/>
      <c r="M461" s="92"/>
      <c r="N461" s="92"/>
      <c r="O461" s="93">
        <v>0</v>
      </c>
      <c r="P461" s="86"/>
      <c r="Q461" s="82">
        <f t="shared" si="44"/>
        <v>272</v>
      </c>
    </row>
    <row r="462" spans="1:17" ht="20.25" customHeight="1">
      <c r="A462" s="85"/>
      <c r="B462" s="102"/>
      <c r="C462" s="86"/>
      <c r="D462" s="87"/>
      <c r="E462" s="88" t="str">
        <f>IFERROR(VLOOKUP(D462,ProductMaster!$A:$B,2,FALSE),"")</f>
        <v/>
      </c>
      <c r="F462" s="88" t="str">
        <f>IFERROR(VLOOKUP(D462,ProductMaster!$A:$C,3,FALSE),"")</f>
        <v/>
      </c>
      <c r="G462" s="89" t="str">
        <f>IFERROR(VLOOKUP($D462,ProductMaster!$A:$O,4,FALSE),"")</f>
        <v/>
      </c>
      <c r="H462" s="90"/>
      <c r="I462" s="123">
        <f>IFERROR(VLOOKUP(E462,ProductMaster!B:G,6,FALSE),0)</f>
        <v>0</v>
      </c>
      <c r="J462" s="123">
        <f t="shared" si="42"/>
        <v>0</v>
      </c>
      <c r="K462" s="123">
        <f t="shared" si="43"/>
        <v>0</v>
      </c>
      <c r="L462" s="91"/>
      <c r="M462" s="92"/>
      <c r="N462" s="92"/>
      <c r="O462" s="93">
        <v>0</v>
      </c>
      <c r="P462" s="86"/>
      <c r="Q462" s="82">
        <f t="shared" si="44"/>
        <v>273</v>
      </c>
    </row>
    <row r="463" spans="1:17" ht="20.25" customHeight="1">
      <c r="A463" s="85"/>
      <c r="B463" s="102"/>
      <c r="C463" s="86"/>
      <c r="D463" s="87"/>
      <c r="E463" s="88" t="str">
        <f>IFERROR(VLOOKUP(D463,ProductMaster!$A:$B,2,FALSE),"")</f>
        <v/>
      </c>
      <c r="F463" s="88" t="str">
        <f>IFERROR(VLOOKUP(D463,ProductMaster!$A:$C,3,FALSE),"")</f>
        <v/>
      </c>
      <c r="G463" s="89" t="str">
        <f>IFERROR(VLOOKUP($D463,ProductMaster!$A:$O,4,FALSE),"")</f>
        <v/>
      </c>
      <c r="H463" s="90"/>
      <c r="I463" s="123">
        <f>IFERROR(VLOOKUP(E463,ProductMaster!B:G,6,FALSE),0)</f>
        <v>0</v>
      </c>
      <c r="J463" s="123">
        <f t="shared" si="42"/>
        <v>0</v>
      </c>
      <c r="K463" s="123">
        <f t="shared" si="43"/>
        <v>0</v>
      </c>
      <c r="L463" s="91"/>
      <c r="M463" s="92"/>
      <c r="N463" s="92"/>
      <c r="O463" s="93">
        <v>0</v>
      </c>
      <c r="P463" s="86"/>
      <c r="Q463" s="82">
        <f t="shared" si="44"/>
        <v>274</v>
      </c>
    </row>
    <row r="464" spans="1:17" ht="20.25" customHeight="1">
      <c r="A464" s="85"/>
      <c r="B464" s="102"/>
      <c r="C464" s="86"/>
      <c r="D464" s="87"/>
      <c r="E464" s="88" t="str">
        <f>IFERROR(VLOOKUP(D464,ProductMaster!$A:$B,2,FALSE),"")</f>
        <v/>
      </c>
      <c r="F464" s="88" t="str">
        <f>IFERROR(VLOOKUP(D464,ProductMaster!$A:$C,3,FALSE),"")</f>
        <v/>
      </c>
      <c r="G464" s="89" t="str">
        <f>IFERROR(VLOOKUP($D464,ProductMaster!$A:$O,4,FALSE),"")</f>
        <v/>
      </c>
      <c r="H464" s="90"/>
      <c r="I464" s="123">
        <f>IFERROR(VLOOKUP(E464,ProductMaster!B:G,6,FALSE),0)</f>
        <v>0</v>
      </c>
      <c r="J464" s="123">
        <f t="shared" si="42"/>
        <v>0</v>
      </c>
      <c r="K464" s="123">
        <f t="shared" si="43"/>
        <v>0</v>
      </c>
      <c r="L464" s="91"/>
      <c r="M464" s="92"/>
      <c r="N464" s="92"/>
      <c r="O464" s="93">
        <v>0</v>
      </c>
      <c r="P464" s="86"/>
      <c r="Q464" s="82">
        <f t="shared" si="44"/>
        <v>275</v>
      </c>
    </row>
    <row r="465" spans="1:17" ht="20.25" customHeight="1">
      <c r="A465" s="85"/>
      <c r="B465" s="102"/>
      <c r="C465" s="86"/>
      <c r="D465" s="87"/>
      <c r="E465" s="88" t="str">
        <f>IFERROR(VLOOKUP(D465,ProductMaster!$A:$B,2,FALSE),"")</f>
        <v/>
      </c>
      <c r="F465" s="88" t="str">
        <f>IFERROR(VLOOKUP(D465,ProductMaster!$A:$C,3,FALSE),"")</f>
        <v/>
      </c>
      <c r="G465" s="89" t="str">
        <f>IFERROR(VLOOKUP($D465,ProductMaster!$A:$O,4,FALSE),"")</f>
        <v/>
      </c>
      <c r="H465" s="90"/>
      <c r="I465" s="123">
        <f>IFERROR(VLOOKUP(E465,ProductMaster!B:G,6,FALSE),0)</f>
        <v>0</v>
      </c>
      <c r="J465" s="123">
        <f t="shared" si="42"/>
        <v>0</v>
      </c>
      <c r="K465" s="123">
        <f t="shared" si="43"/>
        <v>0</v>
      </c>
      <c r="L465" s="91"/>
      <c r="M465" s="92"/>
      <c r="N465" s="92"/>
      <c r="O465" s="93">
        <v>0</v>
      </c>
      <c r="P465" s="86"/>
      <c r="Q465" s="82">
        <f t="shared" si="44"/>
        <v>276</v>
      </c>
    </row>
    <row r="466" spans="1:17" ht="20.25" customHeight="1">
      <c r="A466" s="85"/>
      <c r="B466" s="102"/>
      <c r="C466" s="86"/>
      <c r="D466" s="87"/>
      <c r="E466" s="88" t="str">
        <f>IFERROR(VLOOKUP(D466,ProductMaster!$A:$B,2,FALSE),"")</f>
        <v/>
      </c>
      <c r="F466" s="88" t="str">
        <f>IFERROR(VLOOKUP(D466,ProductMaster!$A:$C,3,FALSE),"")</f>
        <v/>
      </c>
      <c r="G466" s="89" t="str">
        <f>IFERROR(VLOOKUP($D466,ProductMaster!$A:$O,4,FALSE),"")</f>
        <v/>
      </c>
      <c r="H466" s="90"/>
      <c r="I466" s="123">
        <f>IFERROR(VLOOKUP(E466,ProductMaster!B:G,6,FALSE),0)</f>
        <v>0</v>
      </c>
      <c r="J466" s="123">
        <f t="shared" si="42"/>
        <v>0</v>
      </c>
      <c r="K466" s="123">
        <f t="shared" si="43"/>
        <v>0</v>
      </c>
      <c r="L466" s="91"/>
      <c r="M466" s="92"/>
      <c r="N466" s="92"/>
      <c r="O466" s="93">
        <v>0</v>
      </c>
      <c r="P466" s="86"/>
      <c r="Q466" s="82">
        <f t="shared" si="44"/>
        <v>277</v>
      </c>
    </row>
    <row r="467" spans="1:17" ht="20.25" customHeight="1">
      <c r="A467" s="85"/>
      <c r="B467" s="102"/>
      <c r="C467" s="86"/>
      <c r="D467" s="87"/>
      <c r="E467" s="88" t="str">
        <f>IFERROR(VLOOKUP(D467,ProductMaster!$A:$B,2,FALSE),"")</f>
        <v/>
      </c>
      <c r="F467" s="88" t="str">
        <f>IFERROR(VLOOKUP(D467,ProductMaster!$A:$C,3,FALSE),"")</f>
        <v/>
      </c>
      <c r="G467" s="89" t="str">
        <f>IFERROR(VLOOKUP($D467,ProductMaster!$A:$O,4,FALSE),"")</f>
        <v/>
      </c>
      <c r="H467" s="90"/>
      <c r="I467" s="123">
        <f>IFERROR(VLOOKUP(E467,ProductMaster!B:G,6,FALSE),0)</f>
        <v>0</v>
      </c>
      <c r="J467" s="123">
        <f t="shared" si="42"/>
        <v>0</v>
      </c>
      <c r="K467" s="123">
        <f t="shared" si="43"/>
        <v>0</v>
      </c>
      <c r="L467" s="91"/>
      <c r="M467" s="92"/>
      <c r="N467" s="92"/>
      <c r="O467" s="93">
        <v>0</v>
      </c>
      <c r="P467" s="86"/>
      <c r="Q467" s="82">
        <f t="shared" si="44"/>
        <v>278</v>
      </c>
    </row>
    <row r="468" spans="1:17" ht="20.25" customHeight="1">
      <c r="A468" s="85"/>
      <c r="B468" s="102"/>
      <c r="C468" s="86"/>
      <c r="D468" s="87"/>
      <c r="E468" s="88" t="str">
        <f>IFERROR(VLOOKUP(D468,ProductMaster!$A:$B,2,FALSE),"")</f>
        <v/>
      </c>
      <c r="F468" s="88" t="str">
        <f>IFERROR(VLOOKUP(D468,ProductMaster!$A:$C,3,FALSE),"")</f>
        <v/>
      </c>
      <c r="G468" s="89" t="str">
        <f>IFERROR(VLOOKUP($D468,ProductMaster!$A:$O,4,FALSE),"")</f>
        <v/>
      </c>
      <c r="H468" s="90"/>
      <c r="I468" s="123">
        <f>IFERROR(VLOOKUP(E468,ProductMaster!B:G,6,FALSE),0)</f>
        <v>0</v>
      </c>
      <c r="J468" s="123">
        <f t="shared" si="42"/>
        <v>0</v>
      </c>
      <c r="K468" s="123">
        <f t="shared" si="43"/>
        <v>0</v>
      </c>
      <c r="L468" s="91"/>
      <c r="M468" s="92"/>
      <c r="N468" s="92"/>
      <c r="O468" s="93">
        <v>0</v>
      </c>
      <c r="P468" s="86"/>
      <c r="Q468" s="82">
        <f t="shared" si="44"/>
        <v>279</v>
      </c>
    </row>
    <row r="469" spans="1:17" ht="20.25" customHeight="1">
      <c r="A469" s="85"/>
      <c r="B469" s="102"/>
      <c r="C469" s="86"/>
      <c r="D469" s="87"/>
      <c r="E469" s="88" t="str">
        <f>IFERROR(VLOOKUP(D469,ProductMaster!$A:$B,2,FALSE),"")</f>
        <v/>
      </c>
      <c r="F469" s="88" t="str">
        <f>IFERROR(VLOOKUP(D469,ProductMaster!$A:$C,3,FALSE),"")</f>
        <v/>
      </c>
      <c r="G469" s="89" t="str">
        <f>IFERROR(VLOOKUP($D469,ProductMaster!$A:$O,4,FALSE),"")</f>
        <v/>
      </c>
      <c r="H469" s="90"/>
      <c r="I469" s="123">
        <f>IFERROR(VLOOKUP(E469,ProductMaster!B:G,6,FALSE),0)</f>
        <v>0</v>
      </c>
      <c r="J469" s="123">
        <f t="shared" si="42"/>
        <v>0</v>
      </c>
      <c r="K469" s="123">
        <f t="shared" si="43"/>
        <v>0</v>
      </c>
      <c r="L469" s="91"/>
      <c r="M469" s="92"/>
      <c r="N469" s="92"/>
      <c r="O469" s="93">
        <v>0</v>
      </c>
      <c r="P469" s="86"/>
      <c r="Q469" s="82">
        <f t="shared" si="44"/>
        <v>280</v>
      </c>
    </row>
    <row r="470" spans="1:17" ht="20.25" customHeight="1">
      <c r="A470" s="85"/>
      <c r="B470" s="102"/>
      <c r="C470" s="86"/>
      <c r="D470" s="87"/>
      <c r="E470" s="88" t="str">
        <f>IFERROR(VLOOKUP(D470,ProductMaster!$A:$B,2,FALSE),"")</f>
        <v/>
      </c>
      <c r="F470" s="88" t="str">
        <f>IFERROR(VLOOKUP(D470,ProductMaster!$A:$C,3,FALSE),"")</f>
        <v/>
      </c>
      <c r="G470" s="89" t="str">
        <f>IFERROR(VLOOKUP($D470,ProductMaster!$A:$O,4,FALSE),"")</f>
        <v/>
      </c>
      <c r="H470" s="90"/>
      <c r="I470" s="123">
        <f>IFERROR(VLOOKUP(E470,ProductMaster!B:G,6,FALSE),0)</f>
        <v>0</v>
      </c>
      <c r="J470" s="123">
        <f t="shared" si="42"/>
        <v>0</v>
      </c>
      <c r="K470" s="123">
        <f t="shared" si="43"/>
        <v>0</v>
      </c>
      <c r="L470" s="91"/>
      <c r="M470" s="92"/>
      <c r="N470" s="92"/>
      <c r="O470" s="93">
        <v>0</v>
      </c>
      <c r="P470" s="86"/>
      <c r="Q470" s="82">
        <f t="shared" si="44"/>
        <v>281</v>
      </c>
    </row>
    <row r="471" spans="1:17" ht="20.25" customHeight="1">
      <c r="A471" s="85"/>
      <c r="B471" s="102"/>
      <c r="C471" s="86"/>
      <c r="D471" s="87"/>
      <c r="E471" s="88" t="str">
        <f>IFERROR(VLOOKUP(D471,ProductMaster!$A:$B,2,FALSE),"")</f>
        <v/>
      </c>
      <c r="F471" s="88" t="str">
        <f>IFERROR(VLOOKUP(D471,ProductMaster!$A:$C,3,FALSE),"")</f>
        <v/>
      </c>
      <c r="G471" s="89" t="str">
        <f>IFERROR(VLOOKUP($D471,ProductMaster!$A:$O,4,FALSE),"")</f>
        <v/>
      </c>
      <c r="H471" s="90"/>
      <c r="I471" s="123">
        <f>IFERROR(VLOOKUP(E471,ProductMaster!B:G,6,FALSE),0)</f>
        <v>0</v>
      </c>
      <c r="J471" s="123">
        <f t="shared" si="42"/>
        <v>0</v>
      </c>
      <c r="K471" s="123">
        <f t="shared" si="43"/>
        <v>0</v>
      </c>
      <c r="L471" s="91"/>
      <c r="M471" s="92"/>
      <c r="N471" s="92"/>
      <c r="O471" s="93">
        <v>0</v>
      </c>
      <c r="P471" s="86"/>
      <c r="Q471" s="82">
        <f t="shared" si="44"/>
        <v>282</v>
      </c>
    </row>
    <row r="472" spans="1:17" ht="20.25" customHeight="1">
      <c r="A472" s="85"/>
      <c r="B472" s="102"/>
      <c r="C472" s="86"/>
      <c r="D472" s="87"/>
      <c r="E472" s="88" t="str">
        <f>IFERROR(VLOOKUP(D472,ProductMaster!$A:$B,2,FALSE),"")</f>
        <v/>
      </c>
      <c r="F472" s="88" t="str">
        <f>IFERROR(VLOOKUP(D472,ProductMaster!$A:$C,3,FALSE),"")</f>
        <v/>
      </c>
      <c r="G472" s="89" t="str">
        <f>IFERROR(VLOOKUP($D472,ProductMaster!$A:$O,4,FALSE),"")</f>
        <v/>
      </c>
      <c r="H472" s="90"/>
      <c r="I472" s="123">
        <f>IFERROR(VLOOKUP(E472,ProductMaster!B:G,6,FALSE),0)</f>
        <v>0</v>
      </c>
      <c r="J472" s="123">
        <f t="shared" si="42"/>
        <v>0</v>
      </c>
      <c r="K472" s="123">
        <f t="shared" si="43"/>
        <v>0</v>
      </c>
      <c r="L472" s="91"/>
      <c r="M472" s="92"/>
      <c r="N472" s="92"/>
      <c r="O472" s="93">
        <v>0</v>
      </c>
      <c r="P472" s="86"/>
      <c r="Q472" s="82">
        <f t="shared" si="44"/>
        <v>283</v>
      </c>
    </row>
    <row r="473" spans="1:17" ht="20.25" customHeight="1">
      <c r="A473" s="85"/>
      <c r="B473" s="102"/>
      <c r="C473" s="86"/>
      <c r="D473" s="87"/>
      <c r="E473" s="88" t="str">
        <f>IFERROR(VLOOKUP(D473,ProductMaster!$A:$B,2,FALSE),"")</f>
        <v/>
      </c>
      <c r="F473" s="88" t="str">
        <f>IFERROR(VLOOKUP(D473,ProductMaster!$A:$C,3,FALSE),"")</f>
        <v/>
      </c>
      <c r="G473" s="89" t="str">
        <f>IFERROR(VLOOKUP($D473,ProductMaster!$A:$O,4,FALSE),"")</f>
        <v/>
      </c>
      <c r="H473" s="90"/>
      <c r="I473" s="123">
        <f>IFERROR(VLOOKUP(E473,ProductMaster!B:G,6,FALSE),0)</f>
        <v>0</v>
      </c>
      <c r="J473" s="123">
        <f t="shared" si="42"/>
        <v>0</v>
      </c>
      <c r="K473" s="123">
        <f t="shared" si="43"/>
        <v>0</v>
      </c>
      <c r="L473" s="91"/>
      <c r="M473" s="92"/>
      <c r="N473" s="92"/>
      <c r="O473" s="93">
        <v>0</v>
      </c>
      <c r="P473" s="86"/>
      <c r="Q473" s="82">
        <f t="shared" si="44"/>
        <v>284</v>
      </c>
    </row>
    <row r="474" spans="1:17" ht="20.25" customHeight="1">
      <c r="A474" s="85"/>
      <c r="B474" s="102"/>
      <c r="C474" s="86"/>
      <c r="D474" s="87"/>
      <c r="E474" s="88" t="str">
        <f>IFERROR(VLOOKUP(D474,ProductMaster!$A:$B,2,FALSE),"")</f>
        <v/>
      </c>
      <c r="F474" s="88" t="str">
        <f>IFERROR(VLOOKUP(D474,ProductMaster!$A:$C,3,FALSE),"")</f>
        <v/>
      </c>
      <c r="G474" s="89" t="str">
        <f>IFERROR(VLOOKUP($D474,ProductMaster!$A:$O,4,FALSE),"")</f>
        <v/>
      </c>
      <c r="H474" s="90"/>
      <c r="I474" s="123">
        <f>IFERROR(VLOOKUP(E474,ProductMaster!B:G,6,FALSE),0)</f>
        <v>0</v>
      </c>
      <c r="J474" s="123">
        <f t="shared" si="42"/>
        <v>0</v>
      </c>
      <c r="K474" s="123">
        <f t="shared" si="43"/>
        <v>0</v>
      </c>
      <c r="L474" s="91"/>
      <c r="M474" s="92"/>
      <c r="N474" s="92"/>
      <c r="O474" s="93">
        <v>0</v>
      </c>
      <c r="P474" s="86"/>
      <c r="Q474" s="82">
        <f t="shared" si="44"/>
        <v>285</v>
      </c>
    </row>
    <row r="475" spans="1:17" ht="20.25" customHeight="1">
      <c r="A475" s="85"/>
      <c r="B475" s="102"/>
      <c r="C475" s="86"/>
      <c r="D475" s="87"/>
      <c r="E475" s="88" t="str">
        <f>IFERROR(VLOOKUP(D475,ProductMaster!$A:$B,2,FALSE),"")</f>
        <v/>
      </c>
      <c r="F475" s="88" t="str">
        <f>IFERROR(VLOOKUP(D475,ProductMaster!$A:$C,3,FALSE),"")</f>
        <v/>
      </c>
      <c r="G475" s="89" t="str">
        <f>IFERROR(VLOOKUP($D475,ProductMaster!$A:$O,4,FALSE),"")</f>
        <v/>
      </c>
      <c r="H475" s="90"/>
      <c r="I475" s="123">
        <f>IFERROR(VLOOKUP(E475,ProductMaster!B:G,6,FALSE),0)</f>
        <v>0</v>
      </c>
      <c r="J475" s="123">
        <f t="shared" si="42"/>
        <v>0</v>
      </c>
      <c r="K475" s="123">
        <f t="shared" si="43"/>
        <v>0</v>
      </c>
      <c r="L475" s="91"/>
      <c r="M475" s="92"/>
      <c r="N475" s="92"/>
      <c r="O475" s="93">
        <v>0</v>
      </c>
      <c r="P475" s="86"/>
      <c r="Q475" s="82">
        <f t="shared" si="44"/>
        <v>286</v>
      </c>
    </row>
    <row r="476" spans="1:17" ht="20.25" customHeight="1">
      <c r="A476" s="85"/>
      <c r="B476" s="102"/>
      <c r="C476" s="86"/>
      <c r="D476" s="87"/>
      <c r="E476" s="88" t="str">
        <f>IFERROR(VLOOKUP(D476,ProductMaster!$A:$B,2,FALSE),"")</f>
        <v/>
      </c>
      <c r="F476" s="88" t="str">
        <f>IFERROR(VLOOKUP(D476,ProductMaster!$A:$C,3,FALSE),"")</f>
        <v/>
      </c>
      <c r="G476" s="89" t="str">
        <f>IFERROR(VLOOKUP($D476,ProductMaster!$A:$O,4,FALSE),"")</f>
        <v/>
      </c>
      <c r="H476" s="90"/>
      <c r="I476" s="123">
        <f>IFERROR(VLOOKUP(E476,ProductMaster!B:G,6,FALSE),0)</f>
        <v>0</v>
      </c>
      <c r="J476" s="123">
        <f t="shared" si="42"/>
        <v>0</v>
      </c>
      <c r="K476" s="123">
        <f t="shared" si="43"/>
        <v>0</v>
      </c>
      <c r="L476" s="91"/>
      <c r="M476" s="92"/>
      <c r="N476" s="92"/>
      <c r="O476" s="93">
        <v>0</v>
      </c>
      <c r="P476" s="86"/>
      <c r="Q476" s="82">
        <f t="shared" si="44"/>
        <v>287</v>
      </c>
    </row>
    <row r="477" spans="1:17" ht="20.25" customHeight="1">
      <c r="A477" s="85"/>
      <c r="B477" s="102"/>
      <c r="C477" s="86"/>
      <c r="D477" s="87"/>
      <c r="E477" s="88" t="str">
        <f>IFERROR(VLOOKUP(D477,ProductMaster!$A:$B,2,FALSE),"")</f>
        <v/>
      </c>
      <c r="F477" s="88" t="str">
        <f>IFERROR(VLOOKUP(D477,ProductMaster!$A:$C,3,FALSE),"")</f>
        <v/>
      </c>
      <c r="G477" s="89" t="str">
        <f>IFERROR(VLOOKUP($D477,ProductMaster!$A:$O,4,FALSE),"")</f>
        <v/>
      </c>
      <c r="H477" s="90"/>
      <c r="I477" s="123">
        <f>IFERROR(VLOOKUP(E477,ProductMaster!B:G,6,FALSE),0)</f>
        <v>0</v>
      </c>
      <c r="J477" s="123">
        <f t="shared" si="42"/>
        <v>0</v>
      </c>
      <c r="K477" s="123">
        <f t="shared" si="43"/>
        <v>0</v>
      </c>
      <c r="L477" s="91"/>
      <c r="M477" s="92"/>
      <c r="N477" s="92"/>
      <c r="O477" s="93">
        <v>0</v>
      </c>
      <c r="P477" s="86"/>
      <c r="Q477" s="82">
        <f t="shared" si="44"/>
        <v>288</v>
      </c>
    </row>
    <row r="478" spans="1:17" ht="20.25" customHeight="1">
      <c r="A478" s="85"/>
      <c r="B478" s="102"/>
      <c r="C478" s="86"/>
      <c r="D478" s="87"/>
      <c r="E478" s="88" t="str">
        <f>IFERROR(VLOOKUP(D478,ProductMaster!$A:$B,2,FALSE),"")</f>
        <v/>
      </c>
      <c r="F478" s="88" t="str">
        <f>IFERROR(VLOOKUP(D478,ProductMaster!$A:$C,3,FALSE),"")</f>
        <v/>
      </c>
      <c r="G478" s="89" t="str">
        <f>IFERROR(VLOOKUP($D478,ProductMaster!$A:$O,4,FALSE),"")</f>
        <v/>
      </c>
      <c r="H478" s="90"/>
      <c r="I478" s="123">
        <f>IFERROR(VLOOKUP(E478,ProductMaster!B:G,6,FALSE),0)</f>
        <v>0</v>
      </c>
      <c r="J478" s="123">
        <f t="shared" si="42"/>
        <v>0</v>
      </c>
      <c r="K478" s="123">
        <f t="shared" si="43"/>
        <v>0</v>
      </c>
      <c r="L478" s="91"/>
      <c r="M478" s="92"/>
      <c r="N478" s="92"/>
      <c r="O478" s="93">
        <v>0</v>
      </c>
      <c r="P478" s="86"/>
      <c r="Q478" s="82">
        <f t="shared" si="44"/>
        <v>289</v>
      </c>
    </row>
    <row r="479" spans="1:17" ht="20.25" customHeight="1">
      <c r="A479" s="85"/>
      <c r="B479" s="102"/>
      <c r="C479" s="86"/>
      <c r="D479" s="87"/>
      <c r="E479" s="88" t="str">
        <f>IFERROR(VLOOKUP(D479,ProductMaster!$A:$B,2,FALSE),"")</f>
        <v/>
      </c>
      <c r="F479" s="88" t="str">
        <f>IFERROR(VLOOKUP(D479,ProductMaster!$A:$C,3,FALSE),"")</f>
        <v/>
      </c>
      <c r="G479" s="89" t="str">
        <f>IFERROR(VLOOKUP($D479,ProductMaster!$A:$O,4,FALSE),"")</f>
        <v/>
      </c>
      <c r="H479" s="90"/>
      <c r="I479" s="123">
        <f>IFERROR(VLOOKUP(E479,ProductMaster!B:G,6,FALSE),0)</f>
        <v>0</v>
      </c>
      <c r="J479" s="123">
        <f t="shared" si="42"/>
        <v>0</v>
      </c>
      <c r="K479" s="123">
        <f t="shared" si="43"/>
        <v>0</v>
      </c>
      <c r="L479" s="91"/>
      <c r="M479" s="92"/>
      <c r="N479" s="92"/>
      <c r="O479" s="93">
        <v>0</v>
      </c>
      <c r="P479" s="86"/>
      <c r="Q479" s="82">
        <f t="shared" si="44"/>
        <v>290</v>
      </c>
    </row>
    <row r="480" spans="1:17" ht="20.25" customHeight="1">
      <c r="A480" s="85"/>
      <c r="B480" s="102"/>
      <c r="C480" s="86"/>
      <c r="D480" s="87"/>
      <c r="E480" s="88" t="str">
        <f>IFERROR(VLOOKUP(D480,ProductMaster!$A:$B,2,FALSE),"")</f>
        <v/>
      </c>
      <c r="F480" s="88" t="str">
        <f>IFERROR(VLOOKUP(D480,ProductMaster!$A:$C,3,FALSE),"")</f>
        <v/>
      </c>
      <c r="G480" s="89" t="str">
        <f>IFERROR(VLOOKUP($D480,ProductMaster!$A:$O,4,FALSE),"")</f>
        <v/>
      </c>
      <c r="H480" s="90"/>
      <c r="I480" s="123">
        <f>IFERROR(VLOOKUP(E480,ProductMaster!B:G,6,FALSE),0)</f>
        <v>0</v>
      </c>
      <c r="J480" s="123">
        <f t="shared" si="42"/>
        <v>0</v>
      </c>
      <c r="K480" s="123">
        <f t="shared" si="43"/>
        <v>0</v>
      </c>
      <c r="L480" s="91"/>
      <c r="M480" s="92"/>
      <c r="N480" s="92"/>
      <c r="O480" s="93">
        <v>0</v>
      </c>
      <c r="P480" s="86"/>
      <c r="Q480" s="82">
        <f t="shared" si="44"/>
        <v>291</v>
      </c>
    </row>
    <row r="481" spans="1:17" ht="20.25" customHeight="1">
      <c r="A481" s="85"/>
      <c r="B481" s="102"/>
      <c r="C481" s="86"/>
      <c r="D481" s="87"/>
      <c r="E481" s="88" t="str">
        <f>IFERROR(VLOOKUP(D481,ProductMaster!$A:$B,2,FALSE),"")</f>
        <v/>
      </c>
      <c r="F481" s="88" t="str">
        <f>IFERROR(VLOOKUP(D481,ProductMaster!$A:$C,3,FALSE),"")</f>
        <v/>
      </c>
      <c r="G481" s="89" t="str">
        <f>IFERROR(VLOOKUP($D481,ProductMaster!$A:$O,4,FALSE),"")</f>
        <v/>
      </c>
      <c r="H481" s="90"/>
      <c r="I481" s="123">
        <f>IFERROR(VLOOKUP(E481,ProductMaster!B:G,6,FALSE),0)</f>
        <v>0</v>
      </c>
      <c r="J481" s="123">
        <f t="shared" si="42"/>
        <v>0</v>
      </c>
      <c r="K481" s="123">
        <f t="shared" si="43"/>
        <v>0</v>
      </c>
      <c r="L481" s="91"/>
      <c r="M481" s="92"/>
      <c r="N481" s="92"/>
      <c r="O481" s="93">
        <v>0</v>
      </c>
      <c r="P481" s="86"/>
      <c r="Q481" s="82">
        <f t="shared" si="44"/>
        <v>292</v>
      </c>
    </row>
    <row r="482" spans="1:17" ht="20.25" customHeight="1">
      <c r="A482" s="85"/>
      <c r="B482" s="102"/>
      <c r="C482" s="86"/>
      <c r="D482" s="87"/>
      <c r="E482" s="88" t="str">
        <f>IFERROR(VLOOKUP(D482,ProductMaster!$A:$B,2,FALSE),"")</f>
        <v/>
      </c>
      <c r="F482" s="88" t="str">
        <f>IFERROR(VLOOKUP(D482,ProductMaster!$A:$C,3,FALSE),"")</f>
        <v/>
      </c>
      <c r="G482" s="89" t="str">
        <f>IFERROR(VLOOKUP($D482,ProductMaster!$A:$O,4,FALSE),"")</f>
        <v/>
      </c>
      <c r="H482" s="90"/>
      <c r="I482" s="123">
        <f>IFERROR(VLOOKUP(E482,ProductMaster!B:G,6,FALSE),0)</f>
        <v>0</v>
      </c>
      <c r="J482" s="123">
        <f t="shared" si="42"/>
        <v>0</v>
      </c>
      <c r="K482" s="123">
        <f t="shared" si="43"/>
        <v>0</v>
      </c>
      <c r="L482" s="91"/>
      <c r="M482" s="92"/>
      <c r="N482" s="92"/>
      <c r="O482" s="93">
        <v>0</v>
      </c>
      <c r="P482" s="86"/>
      <c r="Q482" s="82">
        <f t="shared" si="44"/>
        <v>293</v>
      </c>
    </row>
    <row r="483" spans="1:17" ht="20.25" customHeight="1">
      <c r="A483" s="85"/>
      <c r="B483" s="102"/>
      <c r="C483" s="86"/>
      <c r="D483" s="87"/>
      <c r="E483" s="88" t="str">
        <f>IFERROR(VLOOKUP(D483,ProductMaster!$A:$B,2,FALSE),"")</f>
        <v/>
      </c>
      <c r="F483" s="88" t="str">
        <f>IFERROR(VLOOKUP(D483,ProductMaster!$A:$C,3,FALSE),"")</f>
        <v/>
      </c>
      <c r="G483" s="89" t="str">
        <f>IFERROR(VLOOKUP($D483,ProductMaster!$A:$O,4,FALSE),"")</f>
        <v/>
      </c>
      <c r="H483" s="90"/>
      <c r="I483" s="123">
        <f>IFERROR(VLOOKUP(E483,ProductMaster!B:G,6,FALSE),0)</f>
        <v>0</v>
      </c>
      <c r="J483" s="123">
        <f t="shared" si="42"/>
        <v>0</v>
      </c>
      <c r="K483" s="123">
        <f t="shared" si="43"/>
        <v>0</v>
      </c>
      <c r="L483" s="91"/>
      <c r="M483" s="92"/>
      <c r="N483" s="92"/>
      <c r="O483" s="93">
        <v>0</v>
      </c>
      <c r="P483" s="86"/>
      <c r="Q483" s="82">
        <f t="shared" si="44"/>
        <v>294</v>
      </c>
    </row>
    <row r="484" spans="1:17" ht="20.25" customHeight="1">
      <c r="A484" s="85"/>
      <c r="B484" s="102"/>
      <c r="C484" s="86"/>
      <c r="D484" s="87"/>
      <c r="E484" s="88" t="str">
        <f>IFERROR(VLOOKUP(D484,ProductMaster!$A:$B,2,FALSE),"")</f>
        <v/>
      </c>
      <c r="F484" s="88" t="str">
        <f>IFERROR(VLOOKUP(D484,ProductMaster!$A:$C,3,FALSE),"")</f>
        <v/>
      </c>
      <c r="G484" s="89" t="str">
        <f>IFERROR(VLOOKUP($D484,ProductMaster!$A:$O,4,FALSE),"")</f>
        <v/>
      </c>
      <c r="H484" s="90"/>
      <c r="I484" s="123">
        <f>IFERROR(VLOOKUP(E484,ProductMaster!B:G,6,FALSE),0)</f>
        <v>0</v>
      </c>
      <c r="J484" s="123">
        <f t="shared" si="42"/>
        <v>0</v>
      </c>
      <c r="K484" s="123">
        <f t="shared" si="43"/>
        <v>0</v>
      </c>
      <c r="L484" s="91"/>
      <c r="M484" s="92"/>
      <c r="N484" s="92"/>
      <c r="O484" s="93">
        <v>0</v>
      </c>
      <c r="P484" s="86"/>
      <c r="Q484" s="82">
        <f t="shared" si="44"/>
        <v>295</v>
      </c>
    </row>
    <row r="485" spans="1:17" ht="20.25" customHeight="1">
      <c r="A485" s="85"/>
      <c r="B485" s="102"/>
      <c r="C485" s="86"/>
      <c r="D485" s="87"/>
      <c r="E485" s="88" t="str">
        <f>IFERROR(VLOOKUP(D485,ProductMaster!$A:$B,2,FALSE),"")</f>
        <v/>
      </c>
      <c r="F485" s="88" t="str">
        <f>IFERROR(VLOOKUP(D485,ProductMaster!$A:$C,3,FALSE),"")</f>
        <v/>
      </c>
      <c r="G485" s="89" t="str">
        <f>IFERROR(VLOOKUP($D485,ProductMaster!$A:$O,4,FALSE),"")</f>
        <v/>
      </c>
      <c r="H485" s="90"/>
      <c r="I485" s="123">
        <f>IFERROR(VLOOKUP(E485,ProductMaster!B:G,6,FALSE),0)</f>
        <v>0</v>
      </c>
      <c r="J485" s="123">
        <f t="shared" si="42"/>
        <v>0</v>
      </c>
      <c r="K485" s="123">
        <f t="shared" si="43"/>
        <v>0</v>
      </c>
      <c r="L485" s="91"/>
      <c r="M485" s="92"/>
      <c r="N485" s="92"/>
      <c r="O485" s="93">
        <v>0</v>
      </c>
      <c r="P485" s="86"/>
      <c r="Q485" s="82">
        <f t="shared" si="44"/>
        <v>296</v>
      </c>
    </row>
    <row r="486" spans="1:17" ht="20.25" customHeight="1">
      <c r="A486" s="85"/>
      <c r="B486" s="102"/>
      <c r="C486" s="86"/>
      <c r="D486" s="87"/>
      <c r="E486" s="88" t="str">
        <f>IFERROR(VLOOKUP(D486,ProductMaster!$A:$B,2,FALSE),"")</f>
        <v/>
      </c>
      <c r="F486" s="88" t="str">
        <f>IFERROR(VLOOKUP(D486,ProductMaster!$A:$C,3,FALSE),"")</f>
        <v/>
      </c>
      <c r="G486" s="89" t="str">
        <f>IFERROR(VLOOKUP($D486,ProductMaster!$A:$O,4,FALSE),"")</f>
        <v/>
      </c>
      <c r="H486" s="90"/>
      <c r="I486" s="123">
        <f>IFERROR(VLOOKUP(E486,ProductMaster!B:G,6,FALSE),0)</f>
        <v>0</v>
      </c>
      <c r="J486" s="123">
        <f t="shared" si="42"/>
        <v>0</v>
      </c>
      <c r="K486" s="123">
        <f t="shared" si="43"/>
        <v>0</v>
      </c>
      <c r="L486" s="91"/>
      <c r="M486" s="92"/>
      <c r="N486" s="92"/>
      <c r="O486" s="93">
        <v>0</v>
      </c>
      <c r="P486" s="86"/>
      <c r="Q486" s="82">
        <f t="shared" si="44"/>
        <v>297</v>
      </c>
    </row>
    <row r="487" spans="1:17" ht="20.25" customHeight="1">
      <c r="A487" s="85"/>
      <c r="B487" s="102"/>
      <c r="C487" s="86"/>
      <c r="D487" s="87"/>
      <c r="E487" s="88" t="str">
        <f>IFERROR(VLOOKUP(D487,ProductMaster!$A:$B,2,FALSE),"")</f>
        <v/>
      </c>
      <c r="F487" s="88" t="str">
        <f>IFERROR(VLOOKUP(D487,ProductMaster!$A:$C,3,FALSE),"")</f>
        <v/>
      </c>
      <c r="G487" s="89" t="str">
        <f>IFERROR(VLOOKUP($D487,ProductMaster!$A:$O,4,FALSE),"")</f>
        <v/>
      </c>
      <c r="H487" s="90"/>
      <c r="I487" s="123">
        <f>IFERROR(VLOOKUP(E487,ProductMaster!B:G,6,FALSE),0)</f>
        <v>0</v>
      </c>
      <c r="J487" s="123">
        <f t="shared" si="42"/>
        <v>0</v>
      </c>
      <c r="K487" s="123">
        <f t="shared" si="43"/>
        <v>0</v>
      </c>
      <c r="L487" s="91"/>
      <c r="M487" s="92"/>
      <c r="N487" s="92"/>
      <c r="O487" s="93">
        <v>0</v>
      </c>
      <c r="P487" s="86"/>
      <c r="Q487" s="82">
        <f t="shared" si="44"/>
        <v>298</v>
      </c>
    </row>
    <row r="488" spans="1:17" ht="20.25" customHeight="1">
      <c r="A488" s="85"/>
      <c r="B488" s="102"/>
      <c r="C488" s="86"/>
      <c r="D488" s="87"/>
      <c r="E488" s="88" t="str">
        <f>IFERROR(VLOOKUP(D488,ProductMaster!$A:$B,2,FALSE),"")</f>
        <v/>
      </c>
      <c r="F488" s="88" t="str">
        <f>IFERROR(VLOOKUP(D488,ProductMaster!$A:$C,3,FALSE),"")</f>
        <v/>
      </c>
      <c r="G488" s="89" t="str">
        <f>IFERROR(VLOOKUP($D488,ProductMaster!$A:$O,4,FALSE),"")</f>
        <v/>
      </c>
      <c r="H488" s="90"/>
      <c r="I488" s="123">
        <f>IFERROR(VLOOKUP(E488,ProductMaster!B:G,6,FALSE),0)</f>
        <v>0</v>
      </c>
      <c r="J488" s="123">
        <f t="shared" si="42"/>
        <v>0</v>
      </c>
      <c r="K488" s="123">
        <f t="shared" si="43"/>
        <v>0</v>
      </c>
      <c r="L488" s="91"/>
      <c r="M488" s="92"/>
      <c r="N488" s="92"/>
      <c r="O488" s="93">
        <v>0</v>
      </c>
      <c r="P488" s="86"/>
      <c r="Q488" s="82">
        <f t="shared" si="44"/>
        <v>299</v>
      </c>
    </row>
    <row r="489" spans="1:17" ht="20.25" customHeight="1">
      <c r="A489" s="85"/>
      <c r="B489" s="102"/>
      <c r="C489" s="86"/>
      <c r="D489" s="87"/>
      <c r="E489" s="88" t="str">
        <f>IFERROR(VLOOKUP(D489,ProductMaster!$A:$B,2,FALSE),"")</f>
        <v/>
      </c>
      <c r="F489" s="88" t="str">
        <f>IFERROR(VLOOKUP(D489,ProductMaster!$A:$C,3,FALSE),"")</f>
        <v/>
      </c>
      <c r="G489" s="89" t="str">
        <f>IFERROR(VLOOKUP($D489,ProductMaster!$A:$O,4,FALSE),"")</f>
        <v/>
      </c>
      <c r="H489" s="90"/>
      <c r="I489" s="123">
        <f>IFERROR(VLOOKUP(E489,ProductMaster!B:G,6,FALSE),0)</f>
        <v>0</v>
      </c>
      <c r="J489" s="123">
        <f t="shared" si="42"/>
        <v>0</v>
      </c>
      <c r="K489" s="123">
        <f t="shared" si="43"/>
        <v>0</v>
      </c>
      <c r="L489" s="91"/>
      <c r="M489" s="92"/>
      <c r="N489" s="92"/>
      <c r="O489" s="93">
        <v>0</v>
      </c>
      <c r="P489" s="86"/>
      <c r="Q489" s="82">
        <f t="shared" si="44"/>
        <v>300</v>
      </c>
    </row>
    <row r="490" spans="1:17" ht="20.25" customHeight="1">
      <c r="A490" s="85"/>
      <c r="B490" s="102"/>
      <c r="C490" s="86"/>
      <c r="D490" s="87"/>
      <c r="E490" s="88" t="str">
        <f>IFERROR(VLOOKUP(D490,ProductMaster!$A:$B,2,FALSE),"")</f>
        <v/>
      </c>
      <c r="F490" s="88" t="str">
        <f>IFERROR(VLOOKUP(D490,ProductMaster!$A:$C,3,FALSE),"")</f>
        <v/>
      </c>
      <c r="G490" s="89" t="str">
        <f>IFERROR(VLOOKUP($D490,ProductMaster!$A:$O,4,FALSE),"")</f>
        <v/>
      </c>
      <c r="H490" s="90"/>
      <c r="I490" s="123">
        <f>IFERROR(VLOOKUP(E490,ProductMaster!B:G,6,FALSE),0)</f>
        <v>0</v>
      </c>
      <c r="J490" s="123">
        <f t="shared" si="42"/>
        <v>0</v>
      </c>
      <c r="K490" s="123">
        <f t="shared" si="43"/>
        <v>0</v>
      </c>
      <c r="L490" s="91"/>
      <c r="M490" s="92"/>
      <c r="N490" s="92"/>
      <c r="O490" s="93">
        <v>0</v>
      </c>
      <c r="P490" s="86"/>
      <c r="Q490" s="82">
        <f t="shared" si="44"/>
        <v>301</v>
      </c>
    </row>
    <row r="491" spans="1:17" ht="20.25" customHeight="1">
      <c r="A491" s="85"/>
      <c r="B491" s="102"/>
      <c r="C491" s="86"/>
      <c r="D491" s="87"/>
      <c r="E491" s="88" t="str">
        <f>IFERROR(VLOOKUP(D491,ProductMaster!$A:$B,2,FALSE),"")</f>
        <v/>
      </c>
      <c r="F491" s="88" t="str">
        <f>IFERROR(VLOOKUP(D491,ProductMaster!$A:$C,3,FALSE),"")</f>
        <v/>
      </c>
      <c r="G491" s="89" t="str">
        <f>IFERROR(VLOOKUP($D491,ProductMaster!$A:$O,4,FALSE),"")</f>
        <v/>
      </c>
      <c r="H491" s="90"/>
      <c r="I491" s="123">
        <f>IFERROR(VLOOKUP(E491,ProductMaster!B:G,6,FALSE),0)</f>
        <v>0</v>
      </c>
      <c r="J491" s="123">
        <f t="shared" si="42"/>
        <v>0</v>
      </c>
      <c r="K491" s="123">
        <f t="shared" si="43"/>
        <v>0</v>
      </c>
      <c r="L491" s="91"/>
      <c r="M491" s="92"/>
      <c r="N491" s="92"/>
      <c r="O491" s="93">
        <v>0</v>
      </c>
      <c r="P491" s="86"/>
      <c r="Q491" s="82">
        <f t="shared" si="44"/>
        <v>302</v>
      </c>
    </row>
    <row r="492" spans="1:17" ht="20.25" customHeight="1">
      <c r="A492" s="85"/>
      <c r="B492" s="102"/>
      <c r="C492" s="86"/>
      <c r="D492" s="87"/>
      <c r="E492" s="88" t="str">
        <f>IFERROR(VLOOKUP(D492,ProductMaster!$A:$B,2,FALSE),"")</f>
        <v/>
      </c>
      <c r="F492" s="88" t="str">
        <f>IFERROR(VLOOKUP(D492,ProductMaster!$A:$C,3,FALSE),"")</f>
        <v/>
      </c>
      <c r="G492" s="89" t="str">
        <f>IFERROR(VLOOKUP($D492,ProductMaster!$A:$O,4,FALSE),"")</f>
        <v/>
      </c>
      <c r="H492" s="90"/>
      <c r="I492" s="123">
        <f>IFERROR(VLOOKUP(E492,ProductMaster!B:G,6,FALSE),0)</f>
        <v>0</v>
      </c>
      <c r="J492" s="123">
        <f t="shared" si="42"/>
        <v>0</v>
      </c>
      <c r="K492" s="123">
        <f t="shared" si="43"/>
        <v>0</v>
      </c>
      <c r="L492" s="91"/>
      <c r="M492" s="92"/>
      <c r="N492" s="92"/>
      <c r="O492" s="93">
        <v>0</v>
      </c>
      <c r="P492" s="86"/>
      <c r="Q492" s="82">
        <f t="shared" si="44"/>
        <v>303</v>
      </c>
    </row>
    <row r="493" spans="1:17" ht="20.25" customHeight="1">
      <c r="A493" s="85"/>
      <c r="B493" s="102"/>
      <c r="C493" s="86"/>
      <c r="D493" s="87"/>
      <c r="E493" s="88" t="str">
        <f>IFERROR(VLOOKUP(D493,ProductMaster!$A:$B,2,FALSE),"")</f>
        <v/>
      </c>
      <c r="F493" s="88" t="str">
        <f>IFERROR(VLOOKUP(D493,ProductMaster!$A:$C,3,FALSE),"")</f>
        <v/>
      </c>
      <c r="G493" s="89" t="str">
        <f>IFERROR(VLOOKUP($D493,ProductMaster!$A:$O,4,FALSE),"")</f>
        <v/>
      </c>
      <c r="H493" s="90"/>
      <c r="I493" s="123">
        <f>IFERROR(VLOOKUP(E493,ProductMaster!B:G,6,FALSE),0)</f>
        <v>0</v>
      </c>
      <c r="J493" s="123">
        <f t="shared" si="42"/>
        <v>0</v>
      </c>
      <c r="K493" s="123">
        <f t="shared" si="43"/>
        <v>0</v>
      </c>
      <c r="L493" s="91"/>
      <c r="M493" s="92"/>
      <c r="N493" s="92"/>
      <c r="O493" s="93">
        <v>0</v>
      </c>
      <c r="P493" s="86"/>
      <c r="Q493" s="82">
        <f t="shared" si="44"/>
        <v>304</v>
      </c>
    </row>
    <row r="494" spans="1:17" ht="20.25" customHeight="1">
      <c r="A494" s="85"/>
      <c r="B494" s="102"/>
      <c r="C494" s="86"/>
      <c r="D494" s="87"/>
      <c r="E494" s="88" t="str">
        <f>IFERROR(VLOOKUP(D494,ProductMaster!$A:$B,2,FALSE),"")</f>
        <v/>
      </c>
      <c r="F494" s="88" t="str">
        <f>IFERROR(VLOOKUP(D494,ProductMaster!$A:$C,3,FALSE),"")</f>
        <v/>
      </c>
      <c r="G494" s="89" t="str">
        <f>IFERROR(VLOOKUP($D494,ProductMaster!$A:$O,4,FALSE),"")</f>
        <v/>
      </c>
      <c r="H494" s="90"/>
      <c r="I494" s="123">
        <f>IFERROR(VLOOKUP(E494,ProductMaster!B:G,6,FALSE),0)</f>
        <v>0</v>
      </c>
      <c r="J494" s="123">
        <f t="shared" si="42"/>
        <v>0</v>
      </c>
      <c r="K494" s="123">
        <f t="shared" si="43"/>
        <v>0</v>
      </c>
      <c r="L494" s="91"/>
      <c r="M494" s="92"/>
      <c r="N494" s="92"/>
      <c r="O494" s="93">
        <v>0</v>
      </c>
      <c r="P494" s="86"/>
      <c r="Q494" s="82">
        <f t="shared" si="44"/>
        <v>305</v>
      </c>
    </row>
    <row r="495" spans="1:17" ht="20.25" customHeight="1">
      <c r="A495" s="85"/>
      <c r="B495" s="102"/>
      <c r="C495" s="86"/>
      <c r="D495" s="87"/>
      <c r="E495" s="88" t="str">
        <f>IFERROR(VLOOKUP(D495,ProductMaster!$A:$B,2,FALSE),"")</f>
        <v/>
      </c>
      <c r="F495" s="88" t="str">
        <f>IFERROR(VLOOKUP(D495,ProductMaster!$A:$C,3,FALSE),"")</f>
        <v/>
      </c>
      <c r="G495" s="89" t="str">
        <f>IFERROR(VLOOKUP($D495,ProductMaster!$A:$O,4,FALSE),"")</f>
        <v/>
      </c>
      <c r="H495" s="90"/>
      <c r="I495" s="123">
        <f>IFERROR(VLOOKUP(E495,ProductMaster!B:G,6,FALSE),0)</f>
        <v>0</v>
      </c>
      <c r="J495" s="123">
        <f t="shared" si="42"/>
        <v>0</v>
      </c>
      <c r="K495" s="123">
        <f t="shared" si="43"/>
        <v>0</v>
      </c>
      <c r="L495" s="91"/>
      <c r="M495" s="92"/>
      <c r="N495" s="92"/>
      <c r="O495" s="93">
        <v>0</v>
      </c>
      <c r="P495" s="86"/>
      <c r="Q495" s="82">
        <f t="shared" si="44"/>
        <v>306</v>
      </c>
    </row>
    <row r="496" spans="1:17" ht="20.25" customHeight="1">
      <c r="A496" s="85"/>
      <c r="B496" s="102"/>
      <c r="C496" s="86"/>
      <c r="D496" s="87"/>
      <c r="E496" s="88" t="str">
        <f>IFERROR(VLOOKUP(D496,ProductMaster!$A:$B,2,FALSE),"")</f>
        <v/>
      </c>
      <c r="F496" s="88" t="str">
        <f>IFERROR(VLOOKUP(D496,ProductMaster!$A:$C,3,FALSE),"")</f>
        <v/>
      </c>
      <c r="G496" s="89" t="str">
        <f>IFERROR(VLOOKUP($D496,ProductMaster!$A:$O,4,FALSE),"")</f>
        <v/>
      </c>
      <c r="H496" s="90"/>
      <c r="I496" s="123">
        <f>IFERROR(VLOOKUP(E496,ProductMaster!B:G,6,FALSE),0)</f>
        <v>0</v>
      </c>
      <c r="J496" s="123">
        <f t="shared" si="42"/>
        <v>0</v>
      </c>
      <c r="K496" s="123">
        <f t="shared" si="43"/>
        <v>0</v>
      </c>
      <c r="L496" s="91"/>
      <c r="M496" s="92"/>
      <c r="N496" s="92"/>
      <c r="O496" s="93">
        <v>0</v>
      </c>
      <c r="P496" s="86"/>
      <c r="Q496" s="82">
        <f t="shared" si="44"/>
        <v>307</v>
      </c>
    </row>
    <row r="497" spans="1:17" ht="20.25" customHeight="1">
      <c r="A497" s="85"/>
      <c r="B497" s="102"/>
      <c r="C497" s="86"/>
      <c r="D497" s="87"/>
      <c r="E497" s="88" t="str">
        <f>IFERROR(VLOOKUP(D497,ProductMaster!$A:$B,2,FALSE),"")</f>
        <v/>
      </c>
      <c r="F497" s="88" t="str">
        <f>IFERROR(VLOOKUP(D497,ProductMaster!$A:$C,3,FALSE),"")</f>
        <v/>
      </c>
      <c r="G497" s="89" t="str">
        <f>IFERROR(VLOOKUP($D497,ProductMaster!$A:$O,4,FALSE),"")</f>
        <v/>
      </c>
      <c r="H497" s="90"/>
      <c r="I497" s="123">
        <f>IFERROR(VLOOKUP(E497,ProductMaster!B:G,6,FALSE),0)</f>
        <v>0</v>
      </c>
      <c r="J497" s="123">
        <f t="shared" si="42"/>
        <v>0</v>
      </c>
      <c r="K497" s="123">
        <f t="shared" si="43"/>
        <v>0</v>
      </c>
      <c r="L497" s="91"/>
      <c r="M497" s="92"/>
      <c r="N497" s="92"/>
      <c r="O497" s="93">
        <v>0</v>
      </c>
      <c r="P497" s="86"/>
      <c r="Q497" s="82">
        <f t="shared" si="44"/>
        <v>308</v>
      </c>
    </row>
    <row r="498" spans="1:17" ht="20.25" customHeight="1">
      <c r="A498" s="85"/>
      <c r="B498" s="102"/>
      <c r="C498" s="86"/>
      <c r="D498" s="87"/>
      <c r="E498" s="88" t="str">
        <f>IFERROR(VLOOKUP(D498,ProductMaster!$A:$B,2,FALSE),"")</f>
        <v/>
      </c>
      <c r="F498" s="88" t="str">
        <f>IFERROR(VLOOKUP(D498,ProductMaster!$A:$C,3,FALSE),"")</f>
        <v/>
      </c>
      <c r="G498" s="89" t="str">
        <f>IFERROR(VLOOKUP($D498,ProductMaster!$A:$O,4,FALSE),"")</f>
        <v/>
      </c>
      <c r="H498" s="90"/>
      <c r="I498" s="123">
        <f>IFERROR(VLOOKUP(E498,ProductMaster!B:G,6,FALSE),0)</f>
        <v>0</v>
      </c>
      <c r="J498" s="123">
        <f t="shared" si="42"/>
        <v>0</v>
      </c>
      <c r="K498" s="123">
        <f t="shared" si="43"/>
        <v>0</v>
      </c>
      <c r="L498" s="91"/>
      <c r="M498" s="92"/>
      <c r="N498" s="92"/>
      <c r="O498" s="93">
        <v>0</v>
      </c>
      <c r="P498" s="86"/>
      <c r="Q498" s="82">
        <f t="shared" si="44"/>
        <v>309</v>
      </c>
    </row>
    <row r="499" spans="1:17" ht="20.25" customHeight="1">
      <c r="A499" s="85"/>
      <c r="B499" s="102"/>
      <c r="C499" s="86"/>
      <c r="D499" s="87"/>
      <c r="E499" s="88" t="str">
        <f>IFERROR(VLOOKUP(D499,ProductMaster!$A:$B,2,FALSE),"")</f>
        <v/>
      </c>
      <c r="F499" s="88" t="str">
        <f>IFERROR(VLOOKUP(D499,ProductMaster!$A:$C,3,FALSE),"")</f>
        <v/>
      </c>
      <c r="G499" s="89" t="str">
        <f>IFERROR(VLOOKUP($D499,ProductMaster!$A:$O,4,FALSE),"")</f>
        <v/>
      </c>
      <c r="H499" s="90"/>
      <c r="I499" s="123">
        <f>IFERROR(VLOOKUP(E499,ProductMaster!B:G,6,FALSE),0)</f>
        <v>0</v>
      </c>
      <c r="J499" s="123">
        <f t="shared" si="42"/>
        <v>0</v>
      </c>
      <c r="K499" s="123">
        <f t="shared" si="43"/>
        <v>0</v>
      </c>
      <c r="L499" s="91"/>
      <c r="M499" s="92"/>
      <c r="N499" s="92"/>
      <c r="O499" s="93">
        <v>0</v>
      </c>
      <c r="P499" s="86"/>
      <c r="Q499" s="82">
        <f t="shared" si="44"/>
        <v>310</v>
      </c>
    </row>
    <row r="500" spans="1:17" ht="20.25" customHeight="1">
      <c r="A500" s="85"/>
      <c r="B500" s="102"/>
      <c r="C500" s="86"/>
      <c r="D500" s="87"/>
      <c r="E500" s="88" t="str">
        <f>IFERROR(VLOOKUP(D500,ProductMaster!$A:$B,2,FALSE),"")</f>
        <v/>
      </c>
      <c r="F500" s="88" t="str">
        <f>IFERROR(VLOOKUP(D500,ProductMaster!$A:$C,3,FALSE),"")</f>
        <v/>
      </c>
      <c r="G500" s="89" t="str">
        <f>IFERROR(VLOOKUP($D500,ProductMaster!$A:$O,4,FALSE),"")</f>
        <v/>
      </c>
      <c r="H500" s="90"/>
      <c r="I500" s="123">
        <f>IFERROR(VLOOKUP(E500,ProductMaster!B:G,6,FALSE),0)</f>
        <v>0</v>
      </c>
      <c r="J500" s="123">
        <f t="shared" si="42"/>
        <v>0</v>
      </c>
      <c r="K500" s="123">
        <f t="shared" si="43"/>
        <v>0</v>
      </c>
      <c r="L500" s="91"/>
      <c r="M500" s="92"/>
      <c r="N500" s="92"/>
      <c r="O500" s="93">
        <v>0</v>
      </c>
      <c r="P500" s="86"/>
      <c r="Q500" s="82">
        <f t="shared" si="44"/>
        <v>311</v>
      </c>
    </row>
  </sheetData>
  <sheetProtection formatCells="0" insertRows="0"/>
  <autoFilter ref="A1:BM500" xr:uid="{8D14E8B1-A3C9-47E9-A89A-0615C80E3BFF}"/>
  <phoneticPr fontId="6" type="noConversion"/>
  <conditionalFormatting sqref="A2:A500">
    <cfRule type="expression" dxfId="33" priority="32">
      <formula>#REF!&lt;&gt;""</formula>
    </cfRule>
    <cfRule type="expression" dxfId="32" priority="33">
      <formula>OR(#REF!="y",#REF!="sj",#REF!="ap")</formula>
    </cfRule>
  </conditionalFormatting>
  <conditionalFormatting sqref="B2:B189">
    <cfRule type="expression" dxfId="31" priority="1">
      <formula>#REF!&lt;&gt;""</formula>
    </cfRule>
    <cfRule type="expression" dxfId="30" priority="2">
      <formula>OR(#REF!="y",#REF!="sj",#REF!="ap")</formula>
    </cfRule>
  </conditionalFormatting>
  <conditionalFormatting sqref="B186:B189">
    <cfRule type="expression" dxfId="29" priority="36">
      <formula>#REF!&lt;&gt;""</formula>
    </cfRule>
    <cfRule type="expression" dxfId="28" priority="37">
      <formula>OR(#REF!="y",#REF!="sj",#REF!="ap")</formula>
    </cfRule>
  </conditionalFormatting>
  <conditionalFormatting sqref="C3:C189">
    <cfRule type="expression" dxfId="27" priority="30">
      <formula>#REF!&lt;&gt;""</formula>
    </cfRule>
    <cfRule type="expression" dxfId="26" priority="31">
      <formula>OR(#REF!="y",#REF!="sj",#REF!="ap")</formula>
    </cfRule>
  </conditionalFormatting>
  <conditionalFormatting sqref="C2:N2">
    <cfRule type="expression" dxfId="25" priority="476">
      <formula>OR(#REF!="y",#REF!="sj",#REF!="ap")</formula>
    </cfRule>
    <cfRule type="expression" dxfId="24" priority="475">
      <formula>#REF!&lt;&gt;""</formula>
    </cfRule>
  </conditionalFormatting>
  <conditionalFormatting sqref="D9:D42">
    <cfRule type="expression" dxfId="23" priority="411">
      <formula>#REF!&lt;&gt;""</formula>
    </cfRule>
    <cfRule type="expression" dxfId="22" priority="412">
      <formula>OR(#REF!="y",#REF!="sj",#REF!="ap")</formula>
    </cfRule>
  </conditionalFormatting>
  <conditionalFormatting sqref="D42:D46">
    <cfRule type="expression" dxfId="21" priority="531">
      <formula>OR(#REF!="y",#REF!="sj",#REF!="ap")</formula>
    </cfRule>
    <cfRule type="expression" dxfId="20" priority="530">
      <formula>#REF!&lt;&gt;""</formula>
    </cfRule>
  </conditionalFormatting>
  <conditionalFormatting sqref="D46:D500">
    <cfRule type="expression" dxfId="19" priority="34">
      <formula>#REF!&lt;&gt;""</formula>
    </cfRule>
    <cfRule type="expression" dxfId="18" priority="35">
      <formula>OR(#REF!="y",#REF!="sj",#REF!="ap")</formula>
    </cfRule>
  </conditionalFormatting>
  <conditionalFormatting sqref="D5:H8 G5:G18 I5:L18 E9:G15 E16:H18 E146:G146 I146:J146 E147:J147 B190:C500 E190:O500">
    <cfRule type="expression" dxfId="17" priority="908">
      <formula>OR(#REF!="y",#REF!="sj",#REF!="ap")</formula>
    </cfRule>
  </conditionalFormatting>
  <conditionalFormatting sqref="D5:H8 G5:G18 I5:L18 E146:G146 I146:J146 E147:J147 B190:C500 E190:P500">
    <cfRule type="expression" dxfId="16" priority="613">
      <formula>#REF!&lt;&gt;""</formula>
    </cfRule>
  </conditionalFormatting>
  <conditionalFormatting sqref="D3:L4">
    <cfRule type="expression" dxfId="15" priority="502">
      <formula>#REF!&lt;&gt;""</formula>
    </cfRule>
    <cfRule type="expression" dxfId="14" priority="503">
      <formula>OR(#REF!="y",#REF!="sj",#REF!="ap")</formula>
    </cfRule>
  </conditionalFormatting>
  <conditionalFormatting sqref="E9:H18">
    <cfRule type="expression" dxfId="13" priority="562">
      <formula>#REF!&lt;&gt;""</formula>
    </cfRule>
  </conditionalFormatting>
  <conditionalFormatting sqref="E19:L145">
    <cfRule type="expression" dxfId="12" priority="496">
      <formula>#REF!&lt;&gt;""</formula>
    </cfRule>
    <cfRule type="expression" dxfId="11" priority="497">
      <formula>OR(#REF!="y",#REF!="sj",#REF!="ap")</formula>
    </cfRule>
  </conditionalFormatting>
  <conditionalFormatting sqref="E148:L189">
    <cfRule type="expression" dxfId="10" priority="5">
      <formula>OR(#REF!="y",#REF!="sj",#REF!="ap")</formula>
    </cfRule>
    <cfRule type="expression" dxfId="9" priority="4">
      <formula>#REF!&lt;&gt;""</formula>
    </cfRule>
  </conditionalFormatting>
  <conditionalFormatting sqref="H9:H15">
    <cfRule type="expression" dxfId="8" priority="563">
      <formula>OR(#REF!="y",#REF!="sj",#REF!="ap")</formula>
    </cfRule>
  </conditionalFormatting>
  <conditionalFormatting sqref="K146:L147">
    <cfRule type="expression" dxfId="7" priority="129">
      <formula>#REF!&lt;&gt;""</formula>
    </cfRule>
    <cfRule type="expression" dxfId="6" priority="130">
      <formula>OR(#REF!="y",#REF!="sj",#REF!="ap")</formula>
    </cfRule>
  </conditionalFormatting>
  <conditionalFormatting sqref="M3:N189">
    <cfRule type="expression" dxfId="5" priority="16">
      <formula>OR(#REF!="y",#REF!="sj",#REF!="ap")</formula>
    </cfRule>
    <cfRule type="expression" dxfId="4" priority="15">
      <formula>#REF!&lt;&gt;""</formula>
    </cfRule>
  </conditionalFormatting>
  <conditionalFormatting sqref="O2:O189">
    <cfRule type="expression" dxfId="3" priority="29">
      <formula>OR(#REF!="y",#REF!="sj",#REF!="ap")</formula>
    </cfRule>
  </conditionalFormatting>
  <conditionalFormatting sqref="O2:P189">
    <cfRule type="expression" dxfId="2" priority="3">
      <formula>#REF!&lt;&gt;""</formula>
    </cfRule>
  </conditionalFormatting>
  <conditionalFormatting sqref="S2 S4 S6 S8 S10 S12 S14 S16 S18 S20 S22 S24 S26 S28 S30 S32 S34 S36 S38 S40 S42 S44 S46 S48 S50 S52 S54 S56 S58 S60 S62:S63 S65 S67 S69 S71:S72 S74 S76">
    <cfRule type="expression" dxfId="1" priority="494">
      <formula>#REF!&lt;&gt;""</formula>
    </cfRule>
    <cfRule type="expression" dxfId="0" priority="495">
      <formula>OR(#REF!="y",#REF!="sj",#REF!="ap")</formula>
    </cfRule>
  </conditionalFormatting>
  <dataValidations count="2">
    <dataValidation type="list" allowBlank="1" showInputMessage="1" sqref="M2:M500" xr:uid="{CE6E59BB-35B7-4D1A-8580-8B8AC4342356}">
      <formula1>ReceiveType</formula1>
    </dataValidation>
    <dataValidation type="list" allowBlank="1" showInputMessage="1" sqref="N2:N500" xr:uid="{5BB36D46-7E31-470A-A71F-11453399338A}">
      <formula1>User</formula1>
    </dataValidation>
  </dataValidations>
  <pageMargins left="0.45763888888888898" right="0.33611111111111103" top="0.39861111111111103" bottom="0.23055555555555601" header="0.25972222222222202" footer="9.1666666666666702E-2"/>
  <pageSetup paperSize="9" firstPageNumber="0" pageOrder="overThenDown" orientation="portrait" horizontalDpi="300" verticalDpi="300" r:id="rId1"/>
  <headerFooter>
    <oddHeader>&amp;C&amp;"Arial,ปกติ"&amp;10&amp;A</oddHeader>
    <oddFooter>&amp;C&amp;"Arial,ปกติ"&amp;10Page &amp;P</oddFooter>
  </headerFooter>
  <ignoredErrors>
    <ignoredError sqref="I11 I77:I174 I386:I500 F2:F3 J77:K145 J11:K11 J1:K3 J386:K500 I2:I3 J18:K18 F7:F11 J7:K10 I7:I10 I13:I14 J13:K14 F13:F14 I18 F18 F67:F174 J67:K76 I67:I76 J148:K174 J147 J146 I190:I385 F190:F500 J190:K385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5ACAD7-979A-4F67-8C47-F80C2FE3FE69}">
          <x14:formula1>
            <xm:f>OtherMaster!$E:$E</xm:f>
          </x14:formula1>
          <xm:sqref>P2:P401</xm:sqref>
        </x14:dataValidation>
        <x14:dataValidation type="list" allowBlank="1" showInputMessage="1" xr:uid="{E5AE3B72-9A12-4AA4-893D-D08023C86E34}">
          <x14:formula1>
            <xm:f>Cus!$A:$A</xm:f>
          </x14:formula1>
          <xm:sqref>C190:C500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CC83-C0E8-4A73-9CCB-5A43C04DFB57}">
  <sheetPr codeName="Sheet2"/>
  <dimension ref="A1:S399"/>
  <sheetViews>
    <sheetView zoomScale="85" zoomScaleNormal="85" workbookViewId="0">
      <pane ySplit="1" topLeftCell="A2" activePane="bottomLeft" state="frozen"/>
      <selection pane="bottomLeft" activeCell="D401" sqref="D401"/>
    </sheetView>
  </sheetViews>
  <sheetFormatPr defaultColWidth="9" defaultRowHeight="14.25"/>
  <cols>
    <col min="1" max="1" width="19.375" style="125" customWidth="1"/>
    <col min="2" max="2" width="8.875" style="51" customWidth="1"/>
    <col min="3" max="3" width="12" style="126" customWidth="1"/>
    <col min="4" max="4" width="46.125" style="51" customWidth="1"/>
    <col min="5" max="6" width="19.5" style="51" customWidth="1"/>
    <col min="7" max="7" width="11.5" style="51" customWidth="1"/>
    <col min="8" max="10" width="15.5" style="139" customWidth="1"/>
    <col min="11" max="11" width="20.5" style="139" customWidth="1"/>
    <col min="12" max="12" width="22" style="139" customWidth="1"/>
    <col min="13" max="13" width="15.5" style="139" customWidth="1"/>
    <col min="14" max="14" width="15.5" style="127" customWidth="1"/>
    <col min="15" max="15" width="15.5" style="128" customWidth="1"/>
    <col min="16" max="16" width="19.5" style="140" customWidth="1"/>
    <col min="17" max="17" width="9" style="51"/>
    <col min="18" max="18" width="17" style="51" bestFit="1" customWidth="1"/>
    <col min="19" max="19" width="9" style="138"/>
    <col min="20" max="16384" width="9" style="51"/>
  </cols>
  <sheetData>
    <row r="1" spans="1:19" ht="18" customHeight="1">
      <c r="A1" s="125" t="s">
        <v>110</v>
      </c>
      <c r="B1" s="51" t="s">
        <v>111</v>
      </c>
      <c r="C1" s="126" t="s">
        <v>112</v>
      </c>
      <c r="D1" s="51" t="s">
        <v>113</v>
      </c>
      <c r="E1" s="51" t="s">
        <v>165</v>
      </c>
      <c r="F1" s="51" t="s">
        <v>166</v>
      </c>
      <c r="G1" s="127" t="s">
        <v>167</v>
      </c>
      <c r="H1" s="128" t="s">
        <v>168</v>
      </c>
      <c r="I1" s="129" t="s">
        <v>109</v>
      </c>
      <c r="J1" s="51"/>
      <c r="K1" s="51"/>
      <c r="L1" s="130"/>
      <c r="M1" s="51"/>
      <c r="N1" s="51"/>
      <c r="O1" s="51"/>
      <c r="P1" s="51"/>
      <c r="S1" s="51"/>
    </row>
    <row r="2" spans="1:19" ht="18" hidden="1" customHeight="1">
      <c r="A2" s="126">
        <v>45242502066</v>
      </c>
      <c r="B2" s="51" t="s">
        <v>169</v>
      </c>
      <c r="C2" s="126">
        <v>48894759</v>
      </c>
      <c r="D2" s="51" t="s">
        <v>170</v>
      </c>
      <c r="E2" s="51" t="s">
        <v>171</v>
      </c>
      <c r="F2" s="51" t="s">
        <v>172</v>
      </c>
      <c r="G2" s="127">
        <f>(ProductMaster_iPST_iPower[[#This Row],[SellPrice (Inc. VAT)]]*100)/107</f>
        <v>1119.6261682242991</v>
      </c>
      <c r="H2" s="128">
        <v>1198</v>
      </c>
      <c r="I2" s="131" t="s">
        <v>173</v>
      </c>
      <c r="J2" s="51"/>
      <c r="K2" s="51"/>
      <c r="L2" s="132"/>
      <c r="M2" s="51"/>
      <c r="N2" s="51"/>
      <c r="O2" s="51"/>
      <c r="P2" s="51"/>
      <c r="S2" s="51"/>
    </row>
    <row r="3" spans="1:19" ht="18" hidden="1" customHeight="1">
      <c r="A3" s="133">
        <v>4002395308866</v>
      </c>
      <c r="B3" s="51" t="s">
        <v>174</v>
      </c>
      <c r="C3" s="126">
        <v>4932307070</v>
      </c>
      <c r="D3" s="51" t="s">
        <v>175</v>
      </c>
      <c r="E3" s="51" t="s">
        <v>171</v>
      </c>
      <c r="F3" s="51" t="s">
        <v>172</v>
      </c>
      <c r="G3" s="127">
        <f>(ProductMaster_iPST_iPower[[#This Row],[SellPrice (Inc. VAT)]]*100)/107</f>
        <v>194.39252336448598</v>
      </c>
      <c r="H3" s="128">
        <v>208</v>
      </c>
      <c r="I3" s="131" t="s">
        <v>176</v>
      </c>
      <c r="J3" s="51"/>
      <c r="K3" s="51"/>
      <c r="L3" s="132"/>
      <c r="M3" s="51"/>
      <c r="N3" s="51"/>
      <c r="O3" s="51"/>
      <c r="P3" s="51"/>
      <c r="S3" s="51"/>
    </row>
    <row r="4" spans="1:19" ht="18" hidden="1" customHeight="1">
      <c r="A4" s="133">
        <v>4002395308873</v>
      </c>
      <c r="B4" s="51" t="s">
        <v>177</v>
      </c>
      <c r="C4" s="126">
        <v>4932307071</v>
      </c>
      <c r="D4" s="51" t="s">
        <v>178</v>
      </c>
      <c r="E4" s="51" t="s">
        <v>171</v>
      </c>
      <c r="F4" s="51" t="s">
        <v>172</v>
      </c>
      <c r="G4" s="127">
        <f>(ProductMaster_iPST_iPower[[#This Row],[SellPrice (Inc. VAT)]]*100)/107</f>
        <v>213.0841121495327</v>
      </c>
      <c r="H4" s="128">
        <v>228</v>
      </c>
      <c r="I4" s="131" t="s">
        <v>179</v>
      </c>
      <c r="J4" s="51"/>
      <c r="K4" s="51"/>
      <c r="L4" s="132"/>
      <c r="M4" s="51"/>
      <c r="N4" s="51"/>
      <c r="O4" s="51"/>
      <c r="P4" s="51"/>
      <c r="S4" s="51"/>
    </row>
    <row r="5" spans="1:19" ht="18" hidden="1" customHeight="1">
      <c r="A5" s="133">
        <v>4002395308897</v>
      </c>
      <c r="B5" s="51" t="s">
        <v>180</v>
      </c>
      <c r="C5" s="126">
        <v>4932307073</v>
      </c>
      <c r="D5" s="51" t="s">
        <v>181</v>
      </c>
      <c r="E5" s="51" t="s">
        <v>171</v>
      </c>
      <c r="F5" s="51" t="s">
        <v>172</v>
      </c>
      <c r="G5" s="127">
        <f>(ProductMaster_iPST_iPower[[#This Row],[SellPrice (Inc. VAT)]]*100)/107</f>
        <v>241.12149532710279</v>
      </c>
      <c r="H5" s="128">
        <v>258</v>
      </c>
      <c r="I5" s="131" t="s">
        <v>182</v>
      </c>
      <c r="J5" s="51"/>
      <c r="K5" s="51"/>
      <c r="L5" s="132"/>
      <c r="M5" s="51"/>
      <c r="N5" s="51"/>
      <c r="O5" s="51"/>
      <c r="P5" s="51"/>
      <c r="S5" s="51"/>
    </row>
    <row r="6" spans="1:19" ht="18" hidden="1" customHeight="1">
      <c r="A6" s="133">
        <v>4002395312276</v>
      </c>
      <c r="B6" s="51" t="s">
        <v>183</v>
      </c>
      <c r="C6" s="126">
        <v>4932344292</v>
      </c>
      <c r="D6" s="51" t="s">
        <v>184</v>
      </c>
      <c r="E6" s="51" t="s">
        <v>171</v>
      </c>
      <c r="F6" s="51" t="s">
        <v>172</v>
      </c>
      <c r="G6" s="127">
        <f>(ProductMaster_iPST_iPower[[#This Row],[SellPrice (Inc. VAT)]]*100)/107</f>
        <v>185.04672897196261</v>
      </c>
      <c r="H6" s="128">
        <v>198</v>
      </c>
      <c r="I6" s="131" t="s">
        <v>185</v>
      </c>
      <c r="J6" s="51"/>
      <c r="K6" s="51"/>
      <c r="L6" s="132"/>
      <c r="M6" s="51"/>
      <c r="N6" s="51"/>
      <c r="O6" s="51"/>
      <c r="P6" s="51"/>
      <c r="S6" s="51"/>
    </row>
    <row r="7" spans="1:19" ht="18" hidden="1" customHeight="1">
      <c r="A7" s="133">
        <v>4002395312269</v>
      </c>
      <c r="B7" s="51" t="s">
        <v>186</v>
      </c>
      <c r="C7" s="126">
        <v>4932344293</v>
      </c>
      <c r="D7" s="51" t="s">
        <v>187</v>
      </c>
      <c r="E7" s="51" t="s">
        <v>171</v>
      </c>
      <c r="F7" s="51" t="s">
        <v>172</v>
      </c>
      <c r="G7" s="127">
        <f>(ProductMaster_iPST_iPower[[#This Row],[SellPrice (Inc. VAT)]]*100)/107</f>
        <v>203.73831775700936</v>
      </c>
      <c r="H7" s="128">
        <v>218</v>
      </c>
      <c r="I7" s="131" t="s">
        <v>188</v>
      </c>
      <c r="J7" s="51"/>
      <c r="K7" s="51"/>
      <c r="L7" s="132"/>
      <c r="M7" s="51"/>
      <c r="N7" s="51"/>
      <c r="O7" s="51"/>
      <c r="P7" s="51"/>
      <c r="S7" s="51"/>
    </row>
    <row r="8" spans="1:19" ht="18" hidden="1" customHeight="1">
      <c r="A8" s="133">
        <v>4058546287405</v>
      </c>
      <c r="B8" s="51" t="s">
        <v>189</v>
      </c>
      <c r="C8" s="126">
        <v>4932471112</v>
      </c>
      <c r="D8" s="51" t="s">
        <v>190</v>
      </c>
      <c r="E8" s="51" t="s">
        <v>171</v>
      </c>
      <c r="F8" s="51" t="s">
        <v>172</v>
      </c>
      <c r="G8" s="127">
        <f>(ProductMaster_iPST_iPower[[#This Row],[SellPrice (Inc. VAT)]]*100)/107</f>
        <v>951.40186915887853</v>
      </c>
      <c r="H8" s="128">
        <v>1018</v>
      </c>
      <c r="I8" s="131" t="s">
        <v>191</v>
      </c>
      <c r="J8" s="51"/>
      <c r="K8" s="51"/>
      <c r="L8" s="132"/>
      <c r="M8" s="51"/>
      <c r="N8" s="51"/>
      <c r="O8" s="51"/>
      <c r="P8" s="51"/>
      <c r="S8" s="51"/>
    </row>
    <row r="9" spans="1:19" ht="18" hidden="1" customHeight="1">
      <c r="A9" s="133">
        <v>4058546413262</v>
      </c>
      <c r="B9" s="51" t="s">
        <v>192</v>
      </c>
      <c r="C9" s="126">
        <v>49162517</v>
      </c>
      <c r="D9" s="51" t="s">
        <v>193</v>
      </c>
      <c r="E9" s="51" t="s">
        <v>171</v>
      </c>
      <c r="F9" s="51" t="s">
        <v>172</v>
      </c>
      <c r="G9" s="127">
        <f>(ProductMaster_iPST_iPower[[#This Row],[SellPrice (Inc. VAT)]]*100)/107</f>
        <v>0</v>
      </c>
      <c r="H9" s="128">
        <v>0</v>
      </c>
      <c r="I9" s="131" t="s">
        <v>194</v>
      </c>
      <c r="J9" s="51"/>
      <c r="K9" s="51"/>
      <c r="L9" s="132"/>
      <c r="M9" s="51"/>
      <c r="N9" s="51"/>
      <c r="O9" s="51"/>
      <c r="P9" s="51"/>
      <c r="S9" s="51"/>
    </row>
    <row r="10" spans="1:19" hidden="1">
      <c r="A10" s="133">
        <v>4058546297633</v>
      </c>
      <c r="B10" s="51" t="s">
        <v>195</v>
      </c>
      <c r="C10" s="126">
        <v>4932471864</v>
      </c>
      <c r="D10" s="51" t="s">
        <v>196</v>
      </c>
      <c r="E10" s="51" t="s">
        <v>171</v>
      </c>
      <c r="F10" s="51" t="s">
        <v>172</v>
      </c>
      <c r="G10" s="127">
        <f>(ProductMaster_iPST_iPower[[#This Row],[SellPrice (Inc. VAT)]]*100)/107</f>
        <v>5502.8037383177571</v>
      </c>
      <c r="H10" s="128">
        <v>5888</v>
      </c>
      <c r="I10" s="134" t="s">
        <v>197</v>
      </c>
      <c r="J10" s="51"/>
      <c r="K10" s="51"/>
      <c r="L10" s="132"/>
      <c r="M10" s="51"/>
      <c r="N10" s="51"/>
      <c r="O10" s="51"/>
      <c r="P10" s="51"/>
      <c r="S10" s="51"/>
    </row>
    <row r="11" spans="1:19" hidden="1">
      <c r="A11" s="133">
        <v>4058546289584</v>
      </c>
      <c r="B11" s="51" t="s">
        <v>198</v>
      </c>
      <c r="C11" s="126">
        <v>4932471330</v>
      </c>
      <c r="D11" s="51" t="s">
        <v>199</v>
      </c>
      <c r="E11" s="51" t="s">
        <v>171</v>
      </c>
      <c r="F11" s="51" t="s">
        <v>172</v>
      </c>
      <c r="G11" s="127">
        <f>(ProductMaster_iPST_iPower[[#This Row],[SellPrice (Inc. VAT)]]*100)/107</f>
        <v>474.76635514018693</v>
      </c>
      <c r="H11" s="128">
        <v>508</v>
      </c>
      <c r="I11" s="134" t="s">
        <v>200</v>
      </c>
      <c r="J11" s="51"/>
      <c r="K11" s="51"/>
      <c r="L11" s="132"/>
      <c r="M11" s="51"/>
      <c r="N11" s="51"/>
      <c r="O11" s="51"/>
      <c r="P11" s="51"/>
      <c r="S11" s="51"/>
    </row>
    <row r="12" spans="1:19" hidden="1">
      <c r="A12" s="133">
        <v>4058546404611</v>
      </c>
      <c r="B12" s="51" t="s">
        <v>201</v>
      </c>
      <c r="C12" s="126">
        <v>4932480176</v>
      </c>
      <c r="D12" s="51" t="s">
        <v>202</v>
      </c>
      <c r="E12" s="51" t="s">
        <v>171</v>
      </c>
      <c r="F12" s="51" t="s">
        <v>172</v>
      </c>
      <c r="G12" s="127">
        <f>(ProductMaster_iPST_iPower[[#This Row],[SellPrice (Inc. VAT)]]*100)/107</f>
        <v>801.86915887850466</v>
      </c>
      <c r="H12" s="128">
        <v>858</v>
      </c>
      <c r="I12" s="134" t="s">
        <v>203</v>
      </c>
      <c r="J12" s="51"/>
      <c r="K12" s="51"/>
      <c r="L12" s="132"/>
      <c r="M12" s="51"/>
      <c r="N12" s="51"/>
      <c r="O12" s="51"/>
      <c r="P12" s="51"/>
      <c r="S12" s="51"/>
    </row>
    <row r="13" spans="1:19" hidden="1">
      <c r="A13" s="133">
        <v>4892210218001</v>
      </c>
      <c r="B13" s="51" t="s">
        <v>204</v>
      </c>
      <c r="C13" s="126">
        <v>4932480180</v>
      </c>
      <c r="D13" s="51" t="s">
        <v>205</v>
      </c>
      <c r="E13" s="51" t="s">
        <v>171</v>
      </c>
      <c r="F13" s="51" t="s">
        <v>172</v>
      </c>
      <c r="G13" s="127">
        <f>(ProductMaster_iPST_iPower[[#This Row],[SellPrice (Inc. VAT)]]*100)/107</f>
        <v>801.86915887850466</v>
      </c>
      <c r="H13" s="128">
        <v>858</v>
      </c>
      <c r="I13" s="134" t="s">
        <v>206</v>
      </c>
      <c r="J13" s="51"/>
      <c r="K13" s="51"/>
      <c r="L13" s="132"/>
      <c r="M13" s="51"/>
      <c r="N13" s="51"/>
      <c r="O13" s="51"/>
      <c r="P13" s="51"/>
      <c r="S13" s="51"/>
    </row>
    <row r="14" spans="1:19" hidden="1">
      <c r="A14" s="133">
        <v>4058546376123</v>
      </c>
      <c r="B14" s="51" t="s">
        <v>207</v>
      </c>
      <c r="C14" s="126" t="s">
        <v>208</v>
      </c>
      <c r="D14" s="51" t="s">
        <v>209</v>
      </c>
      <c r="E14" s="51" t="s">
        <v>171</v>
      </c>
      <c r="F14" s="51" t="s">
        <v>172</v>
      </c>
      <c r="G14" s="127">
        <f>(ProductMaster_iPST_iPower[[#This Row],[SellPrice (Inc. VAT)]]*100)/107</f>
        <v>755.14018691588785</v>
      </c>
      <c r="H14" s="128">
        <v>808</v>
      </c>
      <c r="I14" s="134" t="s">
        <v>210</v>
      </c>
      <c r="J14" s="51"/>
      <c r="K14" s="51"/>
      <c r="L14" s="132"/>
      <c r="M14" s="51"/>
      <c r="N14" s="51"/>
      <c r="O14" s="51"/>
      <c r="P14" s="51"/>
      <c r="S14" s="51"/>
    </row>
    <row r="15" spans="1:19" hidden="1">
      <c r="A15" s="133">
        <v>45242081745</v>
      </c>
      <c r="B15" s="51" t="s">
        <v>211</v>
      </c>
      <c r="C15" s="126" t="s">
        <v>212</v>
      </c>
      <c r="D15" s="51" t="s">
        <v>213</v>
      </c>
      <c r="E15" s="51" t="s">
        <v>171</v>
      </c>
      <c r="F15" s="51" t="s">
        <v>172</v>
      </c>
      <c r="G15" s="127">
        <f>(ProductMaster_iPST_iPower[[#This Row],[SellPrice (Inc. VAT)]]*100)/107</f>
        <v>568.22429906542061</v>
      </c>
      <c r="H15" s="128">
        <v>608</v>
      </c>
      <c r="I15" s="134" t="s">
        <v>214</v>
      </c>
      <c r="J15" s="51"/>
      <c r="K15" s="51"/>
      <c r="L15" s="132"/>
      <c r="M15" s="51"/>
      <c r="N15" s="51"/>
      <c r="O15" s="51"/>
      <c r="P15" s="51"/>
      <c r="S15" s="51"/>
    </row>
    <row r="16" spans="1:19" hidden="1">
      <c r="A16" s="133">
        <v>45242081769</v>
      </c>
      <c r="B16" s="51" t="s">
        <v>215</v>
      </c>
      <c r="C16" s="126" t="s">
        <v>216</v>
      </c>
      <c r="D16" s="51" t="s">
        <v>217</v>
      </c>
      <c r="E16" s="51" t="s">
        <v>171</v>
      </c>
      <c r="F16" s="51" t="s">
        <v>172</v>
      </c>
      <c r="G16" s="127">
        <f>(ProductMaster_iPST_iPower[[#This Row],[SellPrice (Inc. VAT)]]*100)/107</f>
        <v>867.28971962616822</v>
      </c>
      <c r="H16" s="128">
        <v>928</v>
      </c>
      <c r="I16" s="134" t="s">
        <v>218</v>
      </c>
      <c r="J16" s="51"/>
      <c r="K16" s="51"/>
      <c r="L16" s="132"/>
      <c r="M16" s="51"/>
      <c r="N16" s="51"/>
      <c r="O16" s="51"/>
      <c r="P16" s="51"/>
      <c r="S16" s="51"/>
    </row>
    <row r="17" spans="1:19" hidden="1">
      <c r="A17" s="133">
        <v>45242081042</v>
      </c>
      <c r="B17" s="51" t="s">
        <v>219</v>
      </c>
      <c r="C17" s="126" t="s">
        <v>220</v>
      </c>
      <c r="D17" s="51" t="s">
        <v>221</v>
      </c>
      <c r="E17" s="51" t="s">
        <v>171</v>
      </c>
      <c r="F17" s="51" t="s">
        <v>172</v>
      </c>
      <c r="G17" s="127">
        <f>(ProductMaster_iPST_iPower[[#This Row],[SellPrice (Inc. VAT)]]*100)/107</f>
        <v>418.69158878504675</v>
      </c>
      <c r="H17" s="128">
        <v>448</v>
      </c>
      <c r="I17" s="134" t="s">
        <v>222</v>
      </c>
      <c r="J17" s="51"/>
      <c r="K17" s="51"/>
      <c r="L17" s="132"/>
      <c r="M17" s="51"/>
      <c r="N17" s="51"/>
      <c r="O17" s="51"/>
      <c r="P17" s="51"/>
      <c r="S17" s="51"/>
    </row>
    <row r="18" spans="1:19" hidden="1">
      <c r="A18" s="133">
        <v>45242188666</v>
      </c>
      <c r="B18" s="51" t="s">
        <v>223</v>
      </c>
      <c r="C18" s="126" t="s">
        <v>224</v>
      </c>
      <c r="D18" s="51" t="s">
        <v>225</v>
      </c>
      <c r="E18" s="51" t="s">
        <v>171</v>
      </c>
      <c r="F18" s="51" t="s">
        <v>172</v>
      </c>
      <c r="G18" s="127">
        <f>(ProductMaster_iPST_iPower[[#This Row],[SellPrice (Inc. VAT)]]*100)/107</f>
        <v>745.79439252336454</v>
      </c>
      <c r="H18" s="128">
        <v>798</v>
      </c>
      <c r="I18" s="134" t="s">
        <v>226</v>
      </c>
      <c r="J18" s="51"/>
      <c r="K18" s="51"/>
      <c r="L18" s="132"/>
      <c r="M18" s="51"/>
      <c r="N18" s="51"/>
      <c r="O18" s="51"/>
      <c r="P18" s="51"/>
      <c r="S18" s="51"/>
    </row>
    <row r="19" spans="1:19" hidden="1">
      <c r="A19" s="133">
        <v>45242081073</v>
      </c>
      <c r="B19" s="51" t="s">
        <v>227</v>
      </c>
      <c r="C19" s="126" t="s">
        <v>228</v>
      </c>
      <c r="D19" s="51" t="s">
        <v>229</v>
      </c>
      <c r="E19" s="51" t="s">
        <v>171</v>
      </c>
      <c r="F19" s="51" t="s">
        <v>172</v>
      </c>
      <c r="G19" s="127">
        <f>(ProductMaster_iPST_iPower[[#This Row],[SellPrice (Inc. VAT)]]*100)/107</f>
        <v>512.14953271028037</v>
      </c>
      <c r="H19" s="128">
        <v>548</v>
      </c>
      <c r="I19" s="134" t="s">
        <v>230</v>
      </c>
      <c r="J19" s="51"/>
      <c r="K19" s="51"/>
      <c r="L19" s="132"/>
      <c r="M19" s="51"/>
      <c r="N19" s="51"/>
      <c r="O19" s="51"/>
      <c r="P19" s="51"/>
      <c r="S19" s="51"/>
    </row>
    <row r="20" spans="1:19" hidden="1">
      <c r="A20" s="133">
        <v>45242081097</v>
      </c>
      <c r="B20" s="51" t="s">
        <v>231</v>
      </c>
      <c r="C20" s="126" t="s">
        <v>232</v>
      </c>
      <c r="D20" s="51" t="s">
        <v>233</v>
      </c>
      <c r="E20" s="51" t="s">
        <v>171</v>
      </c>
      <c r="F20" s="51" t="s">
        <v>172</v>
      </c>
      <c r="G20" s="127">
        <f>(ProductMaster_iPST_iPower[[#This Row],[SellPrice (Inc. VAT)]]*100)/107</f>
        <v>502.803738317757</v>
      </c>
      <c r="H20" s="128">
        <v>538</v>
      </c>
      <c r="I20" s="134" t="s">
        <v>234</v>
      </c>
      <c r="J20" s="51"/>
      <c r="K20" s="51"/>
      <c r="L20" s="132"/>
      <c r="M20" s="51"/>
      <c r="N20" s="51"/>
      <c r="O20" s="51"/>
      <c r="P20" s="51"/>
      <c r="S20" s="51"/>
    </row>
    <row r="21" spans="1:19" hidden="1">
      <c r="A21" s="133">
        <v>45242082988</v>
      </c>
      <c r="B21" s="51" t="s">
        <v>235</v>
      </c>
      <c r="C21" s="126" t="s">
        <v>236</v>
      </c>
      <c r="D21" s="51" t="s">
        <v>237</v>
      </c>
      <c r="E21" s="51" t="s">
        <v>171</v>
      </c>
      <c r="F21" s="51" t="s">
        <v>172</v>
      </c>
      <c r="G21" s="127">
        <f>(ProductMaster_iPST_iPower[[#This Row],[SellPrice (Inc. VAT)]]*100)/107</f>
        <v>652.3364485981308</v>
      </c>
      <c r="H21" s="128">
        <v>698</v>
      </c>
      <c r="I21" s="134" t="s">
        <v>238</v>
      </c>
      <c r="J21" s="51"/>
      <c r="K21" s="51"/>
      <c r="L21" s="132"/>
      <c r="M21" s="51"/>
      <c r="N21" s="51"/>
      <c r="O21" s="51"/>
      <c r="P21" s="51"/>
      <c r="S21" s="51"/>
    </row>
    <row r="22" spans="1:19" hidden="1">
      <c r="A22" s="133">
        <v>45242082995</v>
      </c>
      <c r="B22" s="51" t="s">
        <v>239</v>
      </c>
      <c r="C22" s="126" t="s">
        <v>240</v>
      </c>
      <c r="D22" s="51" t="s">
        <v>241</v>
      </c>
      <c r="E22" s="51" t="s">
        <v>171</v>
      </c>
      <c r="F22" s="51" t="s">
        <v>172</v>
      </c>
      <c r="G22" s="127">
        <f>(ProductMaster_iPST_iPower[[#This Row],[SellPrice (Inc. VAT)]]*100)/107</f>
        <v>942.0560747663551</v>
      </c>
      <c r="H22" s="128">
        <v>1008</v>
      </c>
      <c r="I22" s="134" t="s">
        <v>242</v>
      </c>
      <c r="J22" s="51"/>
      <c r="K22" s="51"/>
      <c r="L22" s="132"/>
      <c r="M22" s="51"/>
      <c r="N22" s="51"/>
      <c r="O22" s="51"/>
      <c r="P22" s="51"/>
      <c r="S22" s="51"/>
    </row>
    <row r="23" spans="1:19" hidden="1">
      <c r="A23" s="133">
        <v>45242083022</v>
      </c>
      <c r="B23" s="51" t="s">
        <v>243</v>
      </c>
      <c r="C23" s="126" t="s">
        <v>244</v>
      </c>
      <c r="D23" s="51" t="s">
        <v>245</v>
      </c>
      <c r="E23" s="51" t="s">
        <v>171</v>
      </c>
      <c r="F23" s="51" t="s">
        <v>172</v>
      </c>
      <c r="G23" s="127">
        <f>(ProductMaster_iPST_iPower[[#This Row],[SellPrice (Inc. VAT)]]*100)/107</f>
        <v>1269.1588785046729</v>
      </c>
      <c r="H23" s="128">
        <v>1358</v>
      </c>
      <c r="I23" s="134" t="s">
        <v>246</v>
      </c>
      <c r="J23" s="51"/>
      <c r="K23" s="51"/>
      <c r="L23" s="132"/>
      <c r="M23" s="51"/>
      <c r="N23" s="51"/>
      <c r="O23" s="51"/>
      <c r="P23" s="51"/>
      <c r="S23" s="51"/>
    </row>
    <row r="24" spans="1:19" hidden="1">
      <c r="A24" s="133">
        <v>45242082698</v>
      </c>
      <c r="B24" s="51" t="s">
        <v>247</v>
      </c>
      <c r="C24" s="126" t="s">
        <v>248</v>
      </c>
      <c r="D24" s="51" t="s">
        <v>249</v>
      </c>
      <c r="E24" s="51" t="s">
        <v>171</v>
      </c>
      <c r="F24" s="51" t="s">
        <v>172</v>
      </c>
      <c r="G24" s="127">
        <f>(ProductMaster_iPST_iPower[[#This Row],[SellPrice (Inc. VAT)]]*100)/107</f>
        <v>642.99065420560748</v>
      </c>
      <c r="H24" s="128">
        <v>688</v>
      </c>
      <c r="I24" s="134" t="s">
        <v>250</v>
      </c>
      <c r="J24" s="51"/>
      <c r="K24" s="51"/>
      <c r="L24" s="132"/>
      <c r="M24" s="51"/>
      <c r="N24" s="51"/>
      <c r="O24" s="51"/>
      <c r="P24" s="51"/>
      <c r="S24" s="51"/>
    </row>
    <row r="25" spans="1:19" hidden="1">
      <c r="A25" s="133">
        <v>45242082704</v>
      </c>
      <c r="B25" s="51" t="s">
        <v>251</v>
      </c>
      <c r="C25" s="126" t="s">
        <v>252</v>
      </c>
      <c r="D25" s="51" t="s">
        <v>253</v>
      </c>
      <c r="E25" s="51" t="s">
        <v>171</v>
      </c>
      <c r="F25" s="51" t="s">
        <v>172</v>
      </c>
      <c r="G25" s="127">
        <f>(ProductMaster_iPST_iPower[[#This Row],[SellPrice (Inc. VAT)]]*100)/107</f>
        <v>857.9439252336449</v>
      </c>
      <c r="H25" s="128">
        <v>918</v>
      </c>
      <c r="I25" s="134" t="s">
        <v>254</v>
      </c>
      <c r="J25" s="51"/>
      <c r="K25" s="51"/>
      <c r="L25" s="132"/>
      <c r="M25" s="51"/>
      <c r="N25" s="51"/>
      <c r="O25" s="51"/>
      <c r="P25" s="51"/>
      <c r="S25" s="51"/>
    </row>
    <row r="26" spans="1:19" hidden="1">
      <c r="A26" s="133">
        <v>45242082711</v>
      </c>
      <c r="B26" s="51" t="s">
        <v>255</v>
      </c>
      <c r="C26" s="126" t="s">
        <v>256</v>
      </c>
      <c r="D26" s="51" t="s">
        <v>257</v>
      </c>
      <c r="E26" s="51" t="s">
        <v>171</v>
      </c>
      <c r="F26" s="51" t="s">
        <v>172</v>
      </c>
      <c r="G26" s="127">
        <f>(ProductMaster_iPST_iPower[[#This Row],[SellPrice (Inc. VAT)]]*100)/107</f>
        <v>1072.8971962616822</v>
      </c>
      <c r="H26" s="128">
        <v>1148</v>
      </c>
      <c r="I26" s="134" t="s">
        <v>258</v>
      </c>
      <c r="J26" s="51"/>
      <c r="K26" s="51"/>
      <c r="L26" s="132"/>
      <c r="M26" s="51"/>
      <c r="N26" s="51"/>
      <c r="O26" s="51"/>
      <c r="P26" s="51"/>
      <c r="S26" s="51"/>
    </row>
    <row r="27" spans="1:19" hidden="1">
      <c r="A27" s="133">
        <v>45242082834</v>
      </c>
      <c r="B27" s="51" t="s">
        <v>259</v>
      </c>
      <c r="C27" s="126" t="s">
        <v>260</v>
      </c>
      <c r="D27" s="51" t="s">
        <v>261</v>
      </c>
      <c r="E27" s="51" t="s">
        <v>171</v>
      </c>
      <c r="F27" s="51" t="s">
        <v>172</v>
      </c>
      <c r="G27" s="127">
        <f>(ProductMaster_iPST_iPower[[#This Row],[SellPrice (Inc. VAT)]]*100)/107</f>
        <v>409.34579439252337</v>
      </c>
      <c r="H27" s="128">
        <v>438</v>
      </c>
      <c r="I27" s="134" t="s">
        <v>262</v>
      </c>
      <c r="J27" s="51"/>
      <c r="K27" s="51"/>
      <c r="L27" s="132"/>
      <c r="M27" s="51"/>
      <c r="N27" s="51"/>
      <c r="O27" s="51"/>
      <c r="P27" s="51"/>
      <c r="S27" s="51"/>
    </row>
    <row r="28" spans="1:19" hidden="1">
      <c r="A28" s="133">
        <v>45242082858</v>
      </c>
      <c r="B28" s="51" t="s">
        <v>263</v>
      </c>
      <c r="C28" s="126" t="s">
        <v>264</v>
      </c>
      <c r="D28" s="51" t="s">
        <v>265</v>
      </c>
      <c r="E28" s="51" t="s">
        <v>171</v>
      </c>
      <c r="F28" s="51" t="s">
        <v>172</v>
      </c>
      <c r="G28" s="127">
        <f>(ProductMaster_iPST_iPower[[#This Row],[SellPrice (Inc. VAT)]]*100)/107</f>
        <v>418.69158878504675</v>
      </c>
      <c r="H28" s="128">
        <v>448</v>
      </c>
      <c r="I28" s="134" t="s">
        <v>266</v>
      </c>
      <c r="J28" s="51"/>
      <c r="K28" s="51"/>
      <c r="L28" s="132"/>
      <c r="M28" s="51"/>
      <c r="N28" s="51"/>
      <c r="O28" s="51"/>
      <c r="P28" s="51"/>
      <c r="S28" s="51"/>
    </row>
    <row r="29" spans="1:19" hidden="1">
      <c r="A29" s="133">
        <v>45242082889</v>
      </c>
      <c r="B29" s="51" t="s">
        <v>267</v>
      </c>
      <c r="C29" s="126" t="s">
        <v>268</v>
      </c>
      <c r="D29" s="51" t="s">
        <v>269</v>
      </c>
      <c r="E29" s="51" t="s">
        <v>171</v>
      </c>
      <c r="F29" s="51" t="s">
        <v>172</v>
      </c>
      <c r="G29" s="127">
        <f>(ProductMaster_iPST_iPower[[#This Row],[SellPrice (Inc. VAT)]]*100)/107</f>
        <v>605.60747663551399</v>
      </c>
      <c r="H29" s="128">
        <v>648</v>
      </c>
      <c r="I29" s="134" t="s">
        <v>270</v>
      </c>
      <c r="J29" s="51"/>
      <c r="K29" s="51"/>
      <c r="L29" s="132"/>
      <c r="M29" s="51"/>
      <c r="N29" s="51"/>
      <c r="O29" s="51"/>
      <c r="P29" s="51"/>
      <c r="S29" s="51"/>
    </row>
    <row r="30" spans="1:19" hidden="1">
      <c r="A30" s="133">
        <v>45242082896</v>
      </c>
      <c r="B30" s="51" t="s">
        <v>271</v>
      </c>
      <c r="C30" s="126" t="s">
        <v>272</v>
      </c>
      <c r="D30" s="51" t="s">
        <v>273</v>
      </c>
      <c r="E30" s="51" t="s">
        <v>171</v>
      </c>
      <c r="F30" s="51" t="s">
        <v>172</v>
      </c>
      <c r="G30" s="127">
        <f>(ProductMaster_iPST_iPower[[#This Row],[SellPrice (Inc. VAT)]]*100)/107</f>
        <v>596.26168224299067</v>
      </c>
      <c r="H30" s="128">
        <v>638</v>
      </c>
      <c r="I30" s="134" t="s">
        <v>274</v>
      </c>
      <c r="J30" s="51"/>
      <c r="K30" s="51"/>
      <c r="L30" s="132"/>
      <c r="M30" s="51"/>
      <c r="N30" s="51"/>
      <c r="O30" s="51"/>
      <c r="P30" s="51"/>
      <c r="S30" s="51"/>
    </row>
    <row r="31" spans="1:19" hidden="1">
      <c r="A31" s="133">
        <v>45242521036</v>
      </c>
      <c r="B31" s="51" t="s">
        <v>275</v>
      </c>
      <c r="C31" s="126" t="s">
        <v>276</v>
      </c>
      <c r="D31" s="51" t="s">
        <v>277</v>
      </c>
      <c r="E31" s="51" t="s">
        <v>171</v>
      </c>
      <c r="F31" s="51" t="s">
        <v>172</v>
      </c>
      <c r="G31" s="127">
        <f>(ProductMaster_iPST_iPower[[#This Row],[SellPrice (Inc. VAT)]]*100)/107</f>
        <v>960.74766355140184</v>
      </c>
      <c r="H31" s="128">
        <v>1028</v>
      </c>
      <c r="I31" s="134" t="s">
        <v>278</v>
      </c>
      <c r="J31" s="51"/>
      <c r="K31" s="51"/>
      <c r="L31" s="132"/>
      <c r="M31" s="51"/>
      <c r="N31" s="51"/>
      <c r="O31" s="51"/>
      <c r="P31" s="51"/>
      <c r="S31" s="51"/>
    </row>
    <row r="32" spans="1:19" hidden="1">
      <c r="A32" s="133">
        <v>45242520787</v>
      </c>
      <c r="B32" s="51" t="s">
        <v>279</v>
      </c>
      <c r="C32" s="126" t="s">
        <v>280</v>
      </c>
      <c r="D32" s="51" t="s">
        <v>281</v>
      </c>
      <c r="E32" s="51" t="s">
        <v>171</v>
      </c>
      <c r="F32" s="51" t="s">
        <v>172</v>
      </c>
      <c r="G32" s="127">
        <f>(ProductMaster_iPST_iPower[[#This Row],[SellPrice (Inc. VAT)]]*100)/107</f>
        <v>1091.5887850467291</v>
      </c>
      <c r="H32" s="128">
        <v>1168</v>
      </c>
      <c r="I32" s="134" t="s">
        <v>282</v>
      </c>
      <c r="J32" s="51"/>
      <c r="K32" s="51"/>
      <c r="L32" s="132"/>
      <c r="M32" s="51"/>
      <c r="N32" s="51"/>
      <c r="O32" s="51"/>
      <c r="P32" s="51"/>
      <c r="S32" s="51"/>
    </row>
    <row r="33" spans="1:19" hidden="1">
      <c r="A33" s="133">
        <v>45242483716</v>
      </c>
      <c r="B33" s="51" t="s">
        <v>283</v>
      </c>
      <c r="C33" s="126" t="s">
        <v>284</v>
      </c>
      <c r="D33" s="51" t="s">
        <v>285</v>
      </c>
      <c r="E33" s="51" t="s">
        <v>171</v>
      </c>
      <c r="F33" s="51" t="s">
        <v>172</v>
      </c>
      <c r="G33" s="127">
        <f>(ProductMaster_iPST_iPower[[#This Row],[SellPrice (Inc. VAT)]]*100)/107</f>
        <v>642.99065420560748</v>
      </c>
      <c r="H33" s="128">
        <v>688</v>
      </c>
      <c r="I33" s="134" t="s">
        <v>286</v>
      </c>
      <c r="J33" s="51"/>
      <c r="K33" s="51"/>
      <c r="L33" s="132"/>
      <c r="M33" s="51"/>
      <c r="N33" s="51"/>
      <c r="O33" s="51"/>
      <c r="P33" s="51"/>
      <c r="S33" s="51"/>
    </row>
    <row r="34" spans="1:19" hidden="1">
      <c r="A34" s="133">
        <v>45242483723</v>
      </c>
      <c r="B34" s="51" t="s">
        <v>287</v>
      </c>
      <c r="C34" s="126" t="s">
        <v>288</v>
      </c>
      <c r="D34" s="51" t="s">
        <v>289</v>
      </c>
      <c r="E34" s="51" t="s">
        <v>171</v>
      </c>
      <c r="F34" s="51" t="s">
        <v>172</v>
      </c>
      <c r="G34" s="127">
        <f>(ProductMaster_iPST_iPower[[#This Row],[SellPrice (Inc. VAT)]]*100)/107</f>
        <v>820.56074766355141</v>
      </c>
      <c r="H34" s="128">
        <v>878</v>
      </c>
      <c r="I34" s="134" t="s">
        <v>290</v>
      </c>
      <c r="J34" s="51"/>
      <c r="K34" s="51"/>
      <c r="L34" s="132"/>
      <c r="M34" s="51"/>
      <c r="N34" s="51"/>
      <c r="O34" s="51"/>
      <c r="P34" s="51"/>
      <c r="S34" s="51"/>
    </row>
    <row r="35" spans="1:19" hidden="1">
      <c r="A35" s="133">
        <v>45242082476</v>
      </c>
      <c r="B35" s="51" t="s">
        <v>291</v>
      </c>
      <c r="C35" s="126" t="s">
        <v>292</v>
      </c>
      <c r="D35" s="51" t="s">
        <v>293</v>
      </c>
      <c r="E35" s="51" t="s">
        <v>171</v>
      </c>
      <c r="F35" s="51" t="s">
        <v>172</v>
      </c>
      <c r="G35" s="127">
        <f>(ProductMaster_iPST_iPower[[#This Row],[SellPrice (Inc. VAT)]]*100)/107</f>
        <v>642.99065420560748</v>
      </c>
      <c r="H35" s="128">
        <v>688</v>
      </c>
      <c r="I35" s="134" t="s">
        <v>294</v>
      </c>
      <c r="J35" s="51"/>
      <c r="K35" s="51"/>
      <c r="L35" s="132"/>
      <c r="M35" s="51"/>
      <c r="N35" s="51"/>
      <c r="O35" s="51"/>
      <c r="P35" s="51"/>
      <c r="S35" s="51"/>
    </row>
    <row r="36" spans="1:19" hidden="1">
      <c r="A36" s="133">
        <v>45242082490</v>
      </c>
      <c r="B36" s="51" t="s">
        <v>295</v>
      </c>
      <c r="C36" s="126" t="s">
        <v>296</v>
      </c>
      <c r="D36" s="51" t="s">
        <v>297</v>
      </c>
      <c r="E36" s="51" t="s">
        <v>171</v>
      </c>
      <c r="F36" s="51" t="s">
        <v>172</v>
      </c>
      <c r="G36" s="127">
        <f>(ProductMaster_iPST_iPower[[#This Row],[SellPrice (Inc. VAT)]]*100)/107</f>
        <v>1259.8130841121495</v>
      </c>
      <c r="H36" s="128">
        <v>1348</v>
      </c>
      <c r="I36" s="134" t="s">
        <v>298</v>
      </c>
      <c r="J36" s="51"/>
      <c r="K36" s="51"/>
      <c r="L36" s="132"/>
      <c r="M36" s="51"/>
      <c r="N36" s="51"/>
      <c r="O36" s="51"/>
      <c r="P36" s="51"/>
      <c r="S36" s="51"/>
    </row>
    <row r="37" spans="1:19" hidden="1">
      <c r="A37" s="133">
        <v>45242083046</v>
      </c>
      <c r="B37" s="51" t="s">
        <v>299</v>
      </c>
      <c r="C37" s="126" t="s">
        <v>300</v>
      </c>
      <c r="D37" s="51" t="s">
        <v>301</v>
      </c>
      <c r="E37" s="51" t="s">
        <v>171</v>
      </c>
      <c r="F37" s="51" t="s">
        <v>172</v>
      </c>
      <c r="G37" s="127">
        <f>(ProductMaster_iPST_iPower[[#This Row],[SellPrice (Inc. VAT)]]*100)/107</f>
        <v>727.10280373831779</v>
      </c>
      <c r="H37" s="128">
        <v>778</v>
      </c>
      <c r="I37" s="134" t="s">
        <v>302</v>
      </c>
      <c r="J37" s="51"/>
      <c r="K37" s="51"/>
      <c r="L37" s="132"/>
      <c r="M37" s="51"/>
      <c r="N37" s="51"/>
      <c r="O37" s="51"/>
      <c r="P37" s="51"/>
      <c r="S37" s="51"/>
    </row>
    <row r="38" spans="1:19" hidden="1">
      <c r="A38" s="133">
        <v>45242083060</v>
      </c>
      <c r="B38" s="51" t="s">
        <v>303</v>
      </c>
      <c r="C38" s="126" t="s">
        <v>304</v>
      </c>
      <c r="D38" s="51" t="s">
        <v>305</v>
      </c>
      <c r="E38" s="51" t="s">
        <v>171</v>
      </c>
      <c r="F38" s="51" t="s">
        <v>172</v>
      </c>
      <c r="G38" s="127">
        <f>(ProductMaster_iPST_iPower[[#This Row],[SellPrice (Inc. VAT)]]*100)/107</f>
        <v>502.803738317757</v>
      </c>
      <c r="H38" s="128">
        <v>538</v>
      </c>
      <c r="I38" s="134" t="s">
        <v>306</v>
      </c>
      <c r="J38" s="51"/>
      <c r="K38" s="51"/>
      <c r="L38" s="132"/>
      <c r="M38" s="51"/>
      <c r="N38" s="51"/>
      <c r="O38" s="51"/>
      <c r="P38" s="51"/>
      <c r="S38" s="51"/>
    </row>
    <row r="39" spans="1:19" hidden="1">
      <c r="A39" s="133">
        <v>45242083091</v>
      </c>
      <c r="B39" s="51" t="s">
        <v>307</v>
      </c>
      <c r="C39" s="126" t="s">
        <v>308</v>
      </c>
      <c r="D39" s="51" t="s">
        <v>309</v>
      </c>
      <c r="E39" s="51" t="s">
        <v>171</v>
      </c>
      <c r="F39" s="51" t="s">
        <v>172</v>
      </c>
      <c r="G39" s="127">
        <f>(ProductMaster_iPST_iPower[[#This Row],[SellPrice (Inc. VAT)]]*100)/107</f>
        <v>727.10280373831779</v>
      </c>
      <c r="H39" s="128">
        <v>778</v>
      </c>
      <c r="I39" s="134" t="s">
        <v>310</v>
      </c>
      <c r="J39" s="51"/>
      <c r="K39" s="51"/>
      <c r="L39" s="132"/>
      <c r="M39" s="51"/>
      <c r="N39" s="51"/>
      <c r="O39" s="51"/>
      <c r="P39" s="51"/>
      <c r="S39" s="51"/>
    </row>
    <row r="40" spans="1:19" hidden="1">
      <c r="A40" s="133">
        <v>45242268061</v>
      </c>
      <c r="B40" s="51" t="s">
        <v>311</v>
      </c>
      <c r="C40" s="126" t="s">
        <v>312</v>
      </c>
      <c r="D40" s="51" t="s">
        <v>313</v>
      </c>
      <c r="E40" s="51" t="s">
        <v>171</v>
      </c>
      <c r="F40" s="51" t="s">
        <v>172</v>
      </c>
      <c r="G40" s="127">
        <f>(ProductMaster_iPST_iPower[[#This Row],[SellPrice (Inc. VAT)]]*100)/107</f>
        <v>82.242990654205613</v>
      </c>
      <c r="H40" s="128">
        <v>88</v>
      </c>
      <c r="I40" s="134" t="s">
        <v>314</v>
      </c>
      <c r="J40" s="51"/>
      <c r="K40" s="51"/>
      <c r="L40" s="132"/>
      <c r="M40" s="51"/>
      <c r="N40" s="51"/>
      <c r="O40" s="51"/>
      <c r="P40" s="51"/>
      <c r="S40" s="51"/>
    </row>
    <row r="41" spans="1:19" hidden="1">
      <c r="A41" s="133">
        <v>45242617821</v>
      </c>
      <c r="B41" s="51" t="s">
        <v>315</v>
      </c>
      <c r="C41" s="126" t="s">
        <v>316</v>
      </c>
      <c r="D41" s="51" t="s">
        <v>317</v>
      </c>
      <c r="E41" s="51" t="s">
        <v>171</v>
      </c>
      <c r="F41" s="51" t="s">
        <v>172</v>
      </c>
      <c r="G41" s="127">
        <f>(ProductMaster_iPST_iPower[[#This Row],[SellPrice (Inc. VAT)]]*100)/107</f>
        <v>362.61682242990656</v>
      </c>
      <c r="H41" s="128">
        <v>388</v>
      </c>
      <c r="I41" s="134" t="s">
        <v>318</v>
      </c>
      <c r="J41" s="51"/>
      <c r="K41" s="51"/>
      <c r="L41" s="132"/>
      <c r="M41" s="51"/>
      <c r="N41" s="51"/>
      <c r="O41" s="51"/>
      <c r="P41" s="51"/>
      <c r="S41" s="51"/>
    </row>
    <row r="42" spans="1:19" hidden="1">
      <c r="A42" s="133">
        <v>45242617838</v>
      </c>
      <c r="B42" s="51" t="s">
        <v>319</v>
      </c>
      <c r="C42" s="126" t="s">
        <v>320</v>
      </c>
      <c r="D42" s="51" t="s">
        <v>321</v>
      </c>
      <c r="E42" s="51" t="s">
        <v>171</v>
      </c>
      <c r="F42" s="51" t="s">
        <v>172</v>
      </c>
      <c r="G42" s="127">
        <f>(ProductMaster_iPST_iPower[[#This Row],[SellPrice (Inc. VAT)]]*100)/107</f>
        <v>549.53271028037386</v>
      </c>
      <c r="H42" s="128">
        <v>588</v>
      </c>
      <c r="I42" s="134" t="s">
        <v>322</v>
      </c>
      <c r="J42" s="51"/>
      <c r="K42" s="51"/>
      <c r="L42" s="132"/>
      <c r="M42" s="51"/>
      <c r="N42" s="51"/>
      <c r="O42" s="51"/>
      <c r="P42" s="51"/>
      <c r="S42" s="51"/>
    </row>
    <row r="43" spans="1:19" hidden="1">
      <c r="A43" s="133">
        <v>45242617937</v>
      </c>
      <c r="B43" s="51" t="s">
        <v>323</v>
      </c>
      <c r="C43" s="126" t="s">
        <v>324</v>
      </c>
      <c r="D43" s="51" t="s">
        <v>325</v>
      </c>
      <c r="E43" s="51" t="s">
        <v>171</v>
      </c>
      <c r="F43" s="51" t="s">
        <v>172</v>
      </c>
      <c r="G43" s="127">
        <f>(ProductMaster_iPST_iPower[[#This Row],[SellPrice (Inc. VAT)]]*100)/107</f>
        <v>736.44859813084111</v>
      </c>
      <c r="H43" s="128">
        <v>788</v>
      </c>
      <c r="I43" s="134" t="s">
        <v>326</v>
      </c>
      <c r="J43" s="51"/>
      <c r="K43" s="51"/>
      <c r="L43" s="132"/>
      <c r="M43" s="51"/>
      <c r="N43" s="51"/>
      <c r="O43" s="51"/>
      <c r="P43" s="51"/>
      <c r="S43" s="51"/>
    </row>
    <row r="44" spans="1:19" hidden="1">
      <c r="A44" s="133">
        <v>45242617944</v>
      </c>
      <c r="B44" s="51" t="s">
        <v>327</v>
      </c>
      <c r="C44" s="126" t="s">
        <v>328</v>
      </c>
      <c r="D44" s="51" t="s">
        <v>329</v>
      </c>
      <c r="E44" s="51" t="s">
        <v>171</v>
      </c>
      <c r="F44" s="51" t="s">
        <v>172</v>
      </c>
      <c r="G44" s="127">
        <f>(ProductMaster_iPST_iPower[[#This Row],[SellPrice (Inc. VAT)]]*100)/107</f>
        <v>680.37383177570098</v>
      </c>
      <c r="H44" s="128">
        <v>728</v>
      </c>
      <c r="I44" s="134" t="s">
        <v>330</v>
      </c>
      <c r="J44" s="51"/>
      <c r="K44" s="51"/>
      <c r="L44" s="132"/>
      <c r="M44" s="51"/>
      <c r="N44" s="51"/>
      <c r="O44" s="51"/>
      <c r="P44" s="51"/>
      <c r="S44" s="51"/>
    </row>
    <row r="45" spans="1:19" hidden="1">
      <c r="A45" s="133">
        <v>45242617951</v>
      </c>
      <c r="B45" s="51" t="s">
        <v>331</v>
      </c>
      <c r="C45" s="126" t="s">
        <v>332</v>
      </c>
      <c r="D45" s="51" t="s">
        <v>333</v>
      </c>
      <c r="E45" s="51" t="s">
        <v>171</v>
      </c>
      <c r="F45" s="51" t="s">
        <v>172</v>
      </c>
      <c r="G45" s="127">
        <f>(ProductMaster_iPST_iPower[[#This Row],[SellPrice (Inc. VAT)]]*100)/107</f>
        <v>829.90654205607473</v>
      </c>
      <c r="H45" s="128">
        <v>888</v>
      </c>
      <c r="I45" s="134" t="s">
        <v>334</v>
      </c>
      <c r="J45" s="51"/>
      <c r="K45" s="51"/>
      <c r="L45" s="132"/>
      <c r="M45" s="51"/>
      <c r="N45" s="51"/>
      <c r="O45" s="51"/>
      <c r="P45" s="51"/>
      <c r="S45" s="51"/>
    </row>
    <row r="46" spans="1:19" hidden="1">
      <c r="A46" s="133">
        <v>45242617968</v>
      </c>
      <c r="B46" s="51" t="s">
        <v>335</v>
      </c>
      <c r="C46" s="126" t="s">
        <v>336</v>
      </c>
      <c r="D46" s="51" t="s">
        <v>337</v>
      </c>
      <c r="E46" s="51" t="s">
        <v>171</v>
      </c>
      <c r="F46" s="51" t="s">
        <v>172</v>
      </c>
      <c r="G46" s="127">
        <f>(ProductMaster_iPST_iPower[[#This Row],[SellPrice (Inc. VAT)]]*100)/107</f>
        <v>642.99065420560748</v>
      </c>
      <c r="H46" s="128">
        <v>688</v>
      </c>
      <c r="I46" s="134" t="s">
        <v>338</v>
      </c>
      <c r="J46" s="51"/>
      <c r="K46" s="51"/>
      <c r="L46" s="132"/>
      <c r="M46" s="51"/>
      <c r="N46" s="51"/>
      <c r="O46" s="51"/>
      <c r="P46" s="51"/>
      <c r="S46" s="51"/>
    </row>
    <row r="47" spans="1:19" hidden="1">
      <c r="A47" s="133">
        <v>45242617975</v>
      </c>
      <c r="B47" s="51" t="s">
        <v>339</v>
      </c>
      <c r="C47" s="126" t="s">
        <v>340</v>
      </c>
      <c r="D47" s="51" t="s">
        <v>341</v>
      </c>
      <c r="E47" s="51" t="s">
        <v>171</v>
      </c>
      <c r="F47" s="51" t="s">
        <v>172</v>
      </c>
      <c r="G47" s="127">
        <f>(ProductMaster_iPST_iPower[[#This Row],[SellPrice (Inc. VAT)]]*100)/107</f>
        <v>362.61682242990656</v>
      </c>
      <c r="H47" s="128">
        <v>388</v>
      </c>
      <c r="I47" s="134" t="s">
        <v>342</v>
      </c>
      <c r="J47" s="51"/>
      <c r="K47" s="51"/>
      <c r="L47" s="132"/>
      <c r="M47" s="51"/>
      <c r="N47" s="51"/>
      <c r="O47" s="51"/>
      <c r="P47" s="51"/>
      <c r="S47" s="51"/>
    </row>
    <row r="48" spans="1:19" hidden="1">
      <c r="A48" s="133">
        <v>45242617982</v>
      </c>
      <c r="B48" s="51" t="s">
        <v>343</v>
      </c>
      <c r="C48" s="126" t="s">
        <v>344</v>
      </c>
      <c r="D48" s="51" t="s">
        <v>345</v>
      </c>
      <c r="E48" s="51" t="s">
        <v>171</v>
      </c>
      <c r="F48" s="51" t="s">
        <v>172</v>
      </c>
      <c r="G48" s="127">
        <f>(ProductMaster_iPST_iPower[[#This Row],[SellPrice (Inc. VAT)]]*100)/107</f>
        <v>334.57943925233644</v>
      </c>
      <c r="H48" s="128">
        <v>358</v>
      </c>
      <c r="I48" s="134" t="s">
        <v>346</v>
      </c>
      <c r="J48" s="51"/>
      <c r="K48" s="51"/>
      <c r="L48" s="132"/>
      <c r="M48" s="51"/>
      <c r="N48" s="51"/>
      <c r="O48" s="51"/>
      <c r="P48" s="51"/>
      <c r="S48" s="51"/>
    </row>
    <row r="49" spans="1:19" hidden="1">
      <c r="A49" s="133">
        <v>45242617999</v>
      </c>
      <c r="B49" s="51" t="s">
        <v>347</v>
      </c>
      <c r="C49" s="126" t="s">
        <v>348</v>
      </c>
      <c r="D49" s="51" t="s">
        <v>349</v>
      </c>
      <c r="E49" s="51" t="s">
        <v>171</v>
      </c>
      <c r="F49" s="51" t="s">
        <v>172</v>
      </c>
      <c r="G49" s="127">
        <f>(ProductMaster_iPST_iPower[[#This Row],[SellPrice (Inc. VAT)]]*100)/107</f>
        <v>362.61682242990656</v>
      </c>
      <c r="H49" s="128">
        <v>388</v>
      </c>
      <c r="I49" s="134" t="s">
        <v>350</v>
      </c>
      <c r="J49" s="51"/>
      <c r="K49" s="51"/>
      <c r="L49" s="132"/>
      <c r="M49" s="51"/>
      <c r="N49" s="51"/>
      <c r="O49" s="51"/>
      <c r="P49" s="51"/>
      <c r="S49" s="51"/>
    </row>
    <row r="50" spans="1:19" hidden="1">
      <c r="A50" s="133">
        <v>45242618002</v>
      </c>
      <c r="B50" s="51" t="s">
        <v>351</v>
      </c>
      <c r="C50" s="126" t="s">
        <v>352</v>
      </c>
      <c r="D50" s="51" t="s">
        <v>353</v>
      </c>
      <c r="E50" s="51" t="s">
        <v>171</v>
      </c>
      <c r="F50" s="51" t="s">
        <v>172</v>
      </c>
      <c r="G50" s="127">
        <f>(ProductMaster_iPST_iPower[[#This Row],[SellPrice (Inc. VAT)]]*100)/107</f>
        <v>736.44859813084111</v>
      </c>
      <c r="H50" s="128">
        <v>788</v>
      </c>
      <c r="I50" s="134" t="s">
        <v>354</v>
      </c>
      <c r="J50" s="51"/>
      <c r="K50" s="51"/>
      <c r="L50" s="132"/>
      <c r="M50" s="51"/>
      <c r="N50" s="51"/>
      <c r="O50" s="51"/>
      <c r="P50" s="51"/>
      <c r="S50" s="51"/>
    </row>
    <row r="51" spans="1:19" hidden="1">
      <c r="A51" s="133">
        <v>45242618019</v>
      </c>
      <c r="B51" s="51" t="s">
        <v>355</v>
      </c>
      <c r="C51" s="126" t="s">
        <v>356</v>
      </c>
      <c r="D51" s="51" t="s">
        <v>357</v>
      </c>
      <c r="E51" s="51" t="s">
        <v>171</v>
      </c>
      <c r="F51" s="51" t="s">
        <v>172</v>
      </c>
      <c r="G51" s="127">
        <f>(ProductMaster_iPST_iPower[[#This Row],[SellPrice (Inc. VAT)]]*100)/107</f>
        <v>456.07476635514018</v>
      </c>
      <c r="H51" s="128">
        <v>488</v>
      </c>
      <c r="I51" s="134" t="s">
        <v>358</v>
      </c>
      <c r="J51" s="51"/>
      <c r="K51" s="51"/>
      <c r="L51" s="132"/>
      <c r="M51" s="51"/>
      <c r="N51" s="51"/>
      <c r="O51" s="51"/>
      <c r="P51" s="51"/>
      <c r="S51" s="51"/>
    </row>
    <row r="52" spans="1:19" hidden="1">
      <c r="A52" s="133">
        <v>45242618033</v>
      </c>
      <c r="B52" s="51" t="s">
        <v>359</v>
      </c>
      <c r="C52" s="126" t="s">
        <v>360</v>
      </c>
      <c r="D52" s="51" t="s">
        <v>361</v>
      </c>
      <c r="E52" s="51" t="s">
        <v>171</v>
      </c>
      <c r="F52" s="51" t="s">
        <v>172</v>
      </c>
      <c r="G52" s="127">
        <f>(ProductMaster_iPST_iPower[[#This Row],[SellPrice (Inc. VAT)]]*100)/107</f>
        <v>624.29906542056074</v>
      </c>
      <c r="H52" s="128">
        <v>668</v>
      </c>
      <c r="I52" s="134" t="s">
        <v>362</v>
      </c>
      <c r="J52" s="51"/>
      <c r="K52" s="51"/>
      <c r="L52" s="132"/>
      <c r="M52" s="51"/>
      <c r="N52" s="51"/>
      <c r="O52" s="51"/>
      <c r="P52" s="51"/>
      <c r="S52" s="51"/>
    </row>
    <row r="53" spans="1:19" hidden="1">
      <c r="A53" s="133">
        <v>45242618040</v>
      </c>
      <c r="B53" s="51" t="s">
        <v>363</v>
      </c>
      <c r="C53" s="126" t="s">
        <v>364</v>
      </c>
      <c r="D53" s="51" t="s">
        <v>365</v>
      </c>
      <c r="E53" s="51" t="s">
        <v>171</v>
      </c>
      <c r="F53" s="51" t="s">
        <v>172</v>
      </c>
      <c r="G53" s="127">
        <f>(ProductMaster_iPST_iPower[[#This Row],[SellPrice (Inc. VAT)]]*100)/107</f>
        <v>624.29906542056074</v>
      </c>
      <c r="H53" s="128">
        <v>668</v>
      </c>
      <c r="I53" s="134" t="s">
        <v>366</v>
      </c>
      <c r="J53" s="51"/>
      <c r="K53" s="51"/>
      <c r="L53" s="132"/>
      <c r="M53" s="51"/>
      <c r="N53" s="51"/>
      <c r="O53" s="51"/>
      <c r="P53" s="51"/>
      <c r="S53" s="51"/>
    </row>
    <row r="54" spans="1:19" hidden="1">
      <c r="A54" s="133">
        <v>45242618064</v>
      </c>
      <c r="B54" s="51" t="s">
        <v>367</v>
      </c>
      <c r="C54" s="126" t="s">
        <v>368</v>
      </c>
      <c r="D54" s="51" t="s">
        <v>369</v>
      </c>
      <c r="E54" s="51" t="s">
        <v>171</v>
      </c>
      <c r="F54" s="51" t="s">
        <v>172</v>
      </c>
      <c r="G54" s="127">
        <f>(ProductMaster_iPST_iPower[[#This Row],[SellPrice (Inc. VAT)]]*100)/107</f>
        <v>1390.6542056074766</v>
      </c>
      <c r="H54" s="128">
        <v>1488</v>
      </c>
      <c r="I54" s="134" t="s">
        <v>370</v>
      </c>
      <c r="J54" s="51"/>
      <c r="K54" s="51"/>
      <c r="L54" s="132"/>
      <c r="M54" s="51"/>
      <c r="N54" s="51"/>
      <c r="O54" s="51"/>
      <c r="P54" s="51"/>
      <c r="S54" s="51"/>
    </row>
    <row r="55" spans="1:19" hidden="1">
      <c r="A55" s="133">
        <v>45242618095</v>
      </c>
      <c r="B55" s="51" t="s">
        <v>371</v>
      </c>
      <c r="C55" s="126" t="s">
        <v>372</v>
      </c>
      <c r="D55" s="51" t="s">
        <v>373</v>
      </c>
      <c r="E55" s="51" t="s">
        <v>171</v>
      </c>
      <c r="F55" s="51" t="s">
        <v>172</v>
      </c>
      <c r="G55" s="127">
        <f>(ProductMaster_iPST_iPower[[#This Row],[SellPrice (Inc. VAT)]]*100)/107</f>
        <v>549.53271028037386</v>
      </c>
      <c r="H55" s="128">
        <v>588</v>
      </c>
      <c r="I55" s="134" t="s">
        <v>374</v>
      </c>
      <c r="J55" s="51"/>
      <c r="K55" s="51"/>
      <c r="L55" s="132"/>
      <c r="M55" s="51"/>
      <c r="N55" s="51"/>
      <c r="O55" s="51"/>
      <c r="P55" s="51"/>
      <c r="S55" s="51"/>
    </row>
    <row r="56" spans="1:19" hidden="1">
      <c r="A56" s="133">
        <v>45242618101</v>
      </c>
      <c r="B56" s="51" t="s">
        <v>375</v>
      </c>
      <c r="C56" s="126" t="s">
        <v>376</v>
      </c>
      <c r="D56" s="51" t="s">
        <v>377</v>
      </c>
      <c r="E56" s="51" t="s">
        <v>171</v>
      </c>
      <c r="F56" s="51" t="s">
        <v>172</v>
      </c>
      <c r="G56" s="127">
        <f>(ProductMaster_iPST_iPower[[#This Row],[SellPrice (Inc. VAT)]]*100)/107</f>
        <v>1671.0280373831777</v>
      </c>
      <c r="H56" s="128">
        <v>1788</v>
      </c>
      <c r="I56" s="134" t="s">
        <v>378</v>
      </c>
      <c r="J56" s="51"/>
      <c r="K56" s="51"/>
      <c r="L56" s="132"/>
      <c r="M56" s="51"/>
      <c r="N56" s="51"/>
      <c r="O56" s="51"/>
      <c r="P56" s="51"/>
      <c r="S56" s="51"/>
    </row>
    <row r="57" spans="1:19" hidden="1">
      <c r="A57" s="133">
        <v>45242495078</v>
      </c>
      <c r="B57" s="51" t="s">
        <v>379</v>
      </c>
      <c r="C57" s="126" t="s">
        <v>380</v>
      </c>
      <c r="D57" s="51" t="s">
        <v>381</v>
      </c>
      <c r="E57" s="51" t="s">
        <v>171</v>
      </c>
      <c r="F57" s="51" t="s">
        <v>172</v>
      </c>
      <c r="G57" s="127">
        <f>(ProductMaster_iPST_iPower[[#This Row],[SellPrice (Inc. VAT)]]*100)/107</f>
        <v>2699.0654205607475</v>
      </c>
      <c r="H57" s="128">
        <v>2888</v>
      </c>
      <c r="I57" s="134" t="s">
        <v>382</v>
      </c>
      <c r="J57" s="51"/>
      <c r="K57" s="51"/>
      <c r="L57" s="132"/>
      <c r="M57" s="51"/>
      <c r="N57" s="51"/>
      <c r="O57" s="51"/>
      <c r="P57" s="51"/>
      <c r="S57" s="51"/>
    </row>
    <row r="58" spans="1:19" hidden="1">
      <c r="A58" s="133">
        <v>45242349586</v>
      </c>
      <c r="B58" s="51" t="s">
        <v>383</v>
      </c>
      <c r="C58" s="126" t="s">
        <v>384</v>
      </c>
      <c r="D58" s="51" t="s">
        <v>385</v>
      </c>
      <c r="E58" s="51" t="s">
        <v>171</v>
      </c>
      <c r="F58" s="51" t="s">
        <v>172</v>
      </c>
      <c r="G58" s="127">
        <f>(ProductMaster_iPST_iPower[[#This Row],[SellPrice (Inc. VAT)]]*100)/107</f>
        <v>1642.9906542056074</v>
      </c>
      <c r="H58" s="128">
        <v>1758</v>
      </c>
      <c r="I58" s="134" t="s">
        <v>386</v>
      </c>
      <c r="J58" s="51"/>
      <c r="K58" s="51"/>
      <c r="L58" s="132"/>
      <c r="M58" s="51"/>
      <c r="N58" s="51"/>
      <c r="O58" s="51"/>
      <c r="P58" s="51"/>
      <c r="S58" s="51"/>
    </row>
    <row r="59" spans="1:19" hidden="1">
      <c r="A59" s="133">
        <v>45242511433</v>
      </c>
      <c r="B59" s="51" t="s">
        <v>387</v>
      </c>
      <c r="C59" s="126" t="s">
        <v>388</v>
      </c>
      <c r="D59" s="51" t="s">
        <v>389</v>
      </c>
      <c r="E59" s="51" t="s">
        <v>171</v>
      </c>
      <c r="F59" s="51" t="s">
        <v>172</v>
      </c>
      <c r="G59" s="127">
        <f>(ProductMaster_iPST_iPower[[#This Row],[SellPrice (Inc. VAT)]]*100)/107</f>
        <v>1867.2897196261683</v>
      </c>
      <c r="H59" s="128">
        <v>1998</v>
      </c>
      <c r="I59" s="134" t="s">
        <v>390</v>
      </c>
      <c r="J59" s="51"/>
      <c r="K59" s="51"/>
      <c r="L59" s="132"/>
      <c r="M59" s="51"/>
      <c r="N59" s="51"/>
      <c r="O59" s="51"/>
      <c r="P59" s="51"/>
      <c r="S59" s="51"/>
    </row>
    <row r="60" spans="1:19" hidden="1">
      <c r="A60" s="133">
        <v>45242475209</v>
      </c>
      <c r="B60" s="51" t="s">
        <v>391</v>
      </c>
      <c r="C60" s="126" t="s">
        <v>392</v>
      </c>
      <c r="D60" s="51" t="s">
        <v>393</v>
      </c>
      <c r="E60" s="51" t="s">
        <v>171</v>
      </c>
      <c r="F60" s="51" t="s">
        <v>172</v>
      </c>
      <c r="G60" s="127">
        <f>(ProductMaster_iPST_iPower[[#This Row],[SellPrice (Inc. VAT)]]*100)/107</f>
        <v>409.34579439252337</v>
      </c>
      <c r="H60" s="128">
        <v>438</v>
      </c>
      <c r="I60" s="134" t="s">
        <v>394</v>
      </c>
      <c r="J60" s="51"/>
      <c r="K60" s="51"/>
      <c r="L60" s="132"/>
      <c r="M60" s="51"/>
      <c r="N60" s="51"/>
      <c r="O60" s="51"/>
      <c r="P60" s="51"/>
      <c r="S60" s="51"/>
    </row>
    <row r="61" spans="1:19" hidden="1">
      <c r="A61" s="133">
        <v>45242475216</v>
      </c>
      <c r="B61" s="51" t="s">
        <v>395</v>
      </c>
      <c r="C61" s="126" t="s">
        <v>396</v>
      </c>
      <c r="D61" s="51" t="s">
        <v>397</v>
      </c>
      <c r="E61" s="51" t="s">
        <v>171</v>
      </c>
      <c r="F61" s="51" t="s">
        <v>172</v>
      </c>
      <c r="G61" s="127">
        <f>(ProductMaster_iPST_iPower[[#This Row],[SellPrice (Inc. VAT)]]*100)/107</f>
        <v>409.34579439252337</v>
      </c>
      <c r="H61" s="128">
        <v>438</v>
      </c>
      <c r="I61" s="134" t="s">
        <v>398</v>
      </c>
      <c r="J61" s="51"/>
      <c r="K61" s="51"/>
      <c r="L61" s="132"/>
      <c r="M61" s="51"/>
      <c r="N61" s="51"/>
      <c r="O61" s="51"/>
      <c r="P61" s="51"/>
      <c r="S61" s="51"/>
    </row>
    <row r="62" spans="1:19" hidden="1">
      <c r="A62" s="133">
        <v>45242476497</v>
      </c>
      <c r="B62" s="51" t="s">
        <v>399</v>
      </c>
      <c r="C62" s="126" t="s">
        <v>400</v>
      </c>
      <c r="D62" s="51" t="s">
        <v>401</v>
      </c>
      <c r="E62" s="51" t="s">
        <v>171</v>
      </c>
      <c r="F62" s="51" t="s">
        <v>172</v>
      </c>
      <c r="G62" s="127">
        <f>(ProductMaster_iPST_iPower[[#This Row],[SellPrice (Inc. VAT)]]*100)/107</f>
        <v>586.91588785046724</v>
      </c>
      <c r="H62" s="128">
        <v>628</v>
      </c>
      <c r="I62" s="134" t="s">
        <v>402</v>
      </c>
      <c r="J62" s="51"/>
      <c r="K62" s="51"/>
      <c r="L62" s="132"/>
      <c r="M62" s="51"/>
      <c r="N62" s="51"/>
      <c r="O62" s="51"/>
      <c r="P62" s="51"/>
      <c r="S62" s="51"/>
    </row>
    <row r="63" spans="1:19" hidden="1">
      <c r="A63" s="133">
        <v>45242475230</v>
      </c>
      <c r="B63" s="51" t="s">
        <v>403</v>
      </c>
      <c r="C63" s="126" t="s">
        <v>404</v>
      </c>
      <c r="D63" s="51" t="s">
        <v>405</v>
      </c>
      <c r="E63" s="51" t="s">
        <v>171</v>
      </c>
      <c r="F63" s="51" t="s">
        <v>172</v>
      </c>
      <c r="G63" s="127">
        <f>(ProductMaster_iPST_iPower[[#This Row],[SellPrice (Inc. VAT)]]*100)/107</f>
        <v>586.91588785046724</v>
      </c>
      <c r="H63" s="128">
        <v>628</v>
      </c>
      <c r="I63" s="134" t="s">
        <v>406</v>
      </c>
      <c r="J63" s="51"/>
      <c r="K63" s="51"/>
      <c r="L63" s="132"/>
      <c r="M63" s="51"/>
      <c r="N63" s="51"/>
      <c r="O63" s="51"/>
      <c r="P63" s="51"/>
      <c r="S63" s="51"/>
    </row>
    <row r="64" spans="1:19" hidden="1">
      <c r="A64" s="133">
        <v>45242200832</v>
      </c>
      <c r="B64" s="51" t="s">
        <v>407</v>
      </c>
      <c r="C64" s="126" t="s">
        <v>408</v>
      </c>
      <c r="D64" s="51" t="s">
        <v>409</v>
      </c>
      <c r="E64" s="51" t="s">
        <v>171</v>
      </c>
      <c r="F64" s="51" t="s">
        <v>172</v>
      </c>
      <c r="G64" s="127">
        <f>(ProductMaster_iPST_iPower[[#This Row],[SellPrice (Inc. VAT)]]*100)/107</f>
        <v>474.76635514018693</v>
      </c>
      <c r="H64" s="128">
        <v>508</v>
      </c>
      <c r="I64" s="134" t="s">
        <v>410</v>
      </c>
      <c r="J64" s="51"/>
      <c r="K64" s="51"/>
      <c r="L64" s="132"/>
      <c r="M64" s="51"/>
      <c r="N64" s="51"/>
      <c r="O64" s="51"/>
      <c r="P64" s="51"/>
      <c r="S64" s="51"/>
    </row>
    <row r="65" spans="1:19" hidden="1">
      <c r="A65" s="133">
        <v>45242225798</v>
      </c>
      <c r="B65" s="51" t="s">
        <v>411</v>
      </c>
      <c r="C65" s="126" t="s">
        <v>412</v>
      </c>
      <c r="D65" s="51" t="s">
        <v>413</v>
      </c>
      <c r="E65" s="51" t="s">
        <v>171</v>
      </c>
      <c r="F65" s="51" t="s">
        <v>172</v>
      </c>
      <c r="G65" s="127">
        <f>(ProductMaster_iPST_iPower[[#This Row],[SellPrice (Inc. VAT)]]*100)/107</f>
        <v>502.803738317757</v>
      </c>
      <c r="H65" s="128">
        <v>538</v>
      </c>
      <c r="I65" s="134" t="s">
        <v>414</v>
      </c>
      <c r="J65" s="51"/>
      <c r="K65" s="51"/>
      <c r="L65" s="132"/>
      <c r="M65" s="51"/>
      <c r="N65" s="51"/>
      <c r="O65" s="51"/>
      <c r="P65" s="51"/>
      <c r="S65" s="51"/>
    </row>
    <row r="66" spans="1:19" hidden="1">
      <c r="A66" s="133">
        <v>45242200009</v>
      </c>
      <c r="B66" s="51" t="s">
        <v>415</v>
      </c>
      <c r="C66" s="126" t="s">
        <v>416</v>
      </c>
      <c r="D66" s="51" t="s">
        <v>417</v>
      </c>
      <c r="E66" s="51" t="s">
        <v>171</v>
      </c>
      <c r="F66" s="51" t="s">
        <v>172</v>
      </c>
      <c r="G66" s="127">
        <f>(ProductMaster_iPST_iPower[[#This Row],[SellPrice (Inc. VAT)]]*100)/107</f>
        <v>269.15887850467288</v>
      </c>
      <c r="H66" s="128">
        <v>288</v>
      </c>
      <c r="I66" s="134" t="s">
        <v>418</v>
      </c>
      <c r="J66" s="51"/>
      <c r="K66" s="51"/>
      <c r="L66" s="132"/>
      <c r="M66" s="51"/>
      <c r="N66" s="51"/>
      <c r="O66" s="51"/>
      <c r="P66" s="51"/>
      <c r="S66" s="51"/>
    </row>
    <row r="67" spans="1:19" hidden="1">
      <c r="A67" s="133">
        <v>45242200207</v>
      </c>
      <c r="B67" s="51" t="s">
        <v>419</v>
      </c>
      <c r="C67" s="126" t="s">
        <v>420</v>
      </c>
      <c r="D67" s="51" t="s">
        <v>409</v>
      </c>
      <c r="E67" s="51" t="s">
        <v>171</v>
      </c>
      <c r="F67" s="51" t="s">
        <v>172</v>
      </c>
      <c r="G67" s="127">
        <f>(ProductMaster_iPST_iPower[[#This Row],[SellPrice (Inc. VAT)]]*100)/107</f>
        <v>493.45794392523362</v>
      </c>
      <c r="H67" s="128">
        <v>528</v>
      </c>
      <c r="I67" s="134" t="s">
        <v>421</v>
      </c>
      <c r="J67" s="51"/>
      <c r="K67" s="51"/>
      <c r="L67" s="132"/>
      <c r="M67" s="51"/>
      <c r="N67" s="51"/>
      <c r="O67" s="51"/>
      <c r="P67" s="51"/>
      <c r="S67" s="51"/>
    </row>
    <row r="68" spans="1:19" hidden="1">
      <c r="A68" s="133">
        <v>45242198528</v>
      </c>
      <c r="B68" s="51" t="s">
        <v>422</v>
      </c>
      <c r="C68" s="126" t="s">
        <v>423</v>
      </c>
      <c r="D68" s="51" t="s">
        <v>424</v>
      </c>
      <c r="E68" s="51" t="s">
        <v>171</v>
      </c>
      <c r="F68" s="51" t="s">
        <v>172</v>
      </c>
      <c r="G68" s="127">
        <f>(ProductMaster_iPST_iPower[[#This Row],[SellPrice (Inc. VAT)]]*100)/107</f>
        <v>558.87850467289718</v>
      </c>
      <c r="H68" s="128">
        <v>598</v>
      </c>
      <c r="I68" s="134" t="s">
        <v>425</v>
      </c>
      <c r="J68" s="51"/>
      <c r="K68" s="51"/>
      <c r="L68" s="132"/>
      <c r="M68" s="51"/>
      <c r="N68" s="51"/>
      <c r="O68" s="51"/>
      <c r="P68" s="51"/>
      <c r="S68" s="51"/>
    </row>
    <row r="69" spans="1:19" hidden="1">
      <c r="A69" s="133">
        <v>45242198344</v>
      </c>
      <c r="B69" s="51" t="s">
        <v>426</v>
      </c>
      <c r="C69" s="126" t="s">
        <v>427</v>
      </c>
      <c r="D69" s="51" t="s">
        <v>428</v>
      </c>
      <c r="E69" s="51" t="s">
        <v>171</v>
      </c>
      <c r="F69" s="51" t="s">
        <v>172</v>
      </c>
      <c r="G69" s="127">
        <f>(ProductMaster_iPST_iPower[[#This Row],[SellPrice (Inc. VAT)]]*100)/107</f>
        <v>409.34579439252337</v>
      </c>
      <c r="H69" s="128">
        <v>438</v>
      </c>
      <c r="I69" s="134" t="s">
        <v>429</v>
      </c>
      <c r="J69" s="51"/>
      <c r="K69" s="51"/>
      <c r="L69" s="132"/>
      <c r="M69" s="51"/>
      <c r="N69" s="51"/>
      <c r="O69" s="51"/>
      <c r="P69" s="51"/>
      <c r="S69" s="51"/>
    </row>
    <row r="70" spans="1:19" hidden="1">
      <c r="A70" s="133">
        <v>45242198481</v>
      </c>
      <c r="B70" s="51" t="s">
        <v>430</v>
      </c>
      <c r="C70" s="126" t="s">
        <v>431</v>
      </c>
      <c r="D70" s="51" t="s">
        <v>432</v>
      </c>
      <c r="E70" s="51" t="s">
        <v>171</v>
      </c>
      <c r="F70" s="51" t="s">
        <v>172</v>
      </c>
      <c r="G70" s="127">
        <f>(ProductMaster_iPST_iPower[[#This Row],[SellPrice (Inc. VAT)]]*100)/107</f>
        <v>465.42056074766356</v>
      </c>
      <c r="H70" s="128">
        <v>498</v>
      </c>
      <c r="I70" s="134" t="s">
        <v>433</v>
      </c>
      <c r="J70" s="51"/>
      <c r="K70" s="51"/>
      <c r="L70" s="132"/>
      <c r="M70" s="51"/>
      <c r="N70" s="51"/>
      <c r="O70" s="51"/>
      <c r="P70" s="51"/>
      <c r="S70" s="51"/>
    </row>
    <row r="71" spans="1:19" hidden="1">
      <c r="A71" s="133">
        <v>45242198498</v>
      </c>
      <c r="B71" s="51" t="s">
        <v>434</v>
      </c>
      <c r="C71" s="126" t="s">
        <v>435</v>
      </c>
      <c r="D71" s="51" t="s">
        <v>436</v>
      </c>
      <c r="E71" s="51" t="s">
        <v>171</v>
      </c>
      <c r="F71" s="51" t="s">
        <v>172</v>
      </c>
      <c r="G71" s="127">
        <f>(ProductMaster_iPST_iPower[[#This Row],[SellPrice (Inc. VAT)]]*100)/107</f>
        <v>493.45794392523362</v>
      </c>
      <c r="H71" s="128">
        <v>528</v>
      </c>
      <c r="I71" s="134" t="s">
        <v>437</v>
      </c>
      <c r="J71" s="51"/>
      <c r="K71" s="51"/>
      <c r="L71" s="132"/>
      <c r="M71" s="51"/>
      <c r="N71" s="51"/>
      <c r="O71" s="51"/>
      <c r="P71" s="51"/>
      <c r="S71" s="51"/>
    </row>
    <row r="72" spans="1:19" hidden="1">
      <c r="A72" s="133">
        <v>45242132164</v>
      </c>
      <c r="B72" s="51" t="s">
        <v>438</v>
      </c>
      <c r="C72" s="126" t="s">
        <v>439</v>
      </c>
      <c r="D72" s="51" t="s">
        <v>440</v>
      </c>
      <c r="E72" s="51" t="s">
        <v>171</v>
      </c>
      <c r="F72" s="51" t="s">
        <v>172</v>
      </c>
      <c r="G72" s="127">
        <f>(ProductMaster_iPST_iPower[[#This Row],[SellPrice (Inc. VAT)]]*100)/107</f>
        <v>1166.3551401869158</v>
      </c>
      <c r="H72" s="128">
        <v>1248</v>
      </c>
      <c r="I72" s="134" t="s">
        <v>441</v>
      </c>
      <c r="J72" s="51"/>
      <c r="K72" s="51"/>
      <c r="L72" s="132"/>
      <c r="M72" s="51"/>
      <c r="N72" s="51"/>
      <c r="O72" s="51"/>
      <c r="P72" s="51"/>
      <c r="S72" s="51"/>
    </row>
    <row r="73" spans="1:19" hidden="1">
      <c r="A73" s="133">
        <v>45242132263</v>
      </c>
      <c r="B73" s="51" t="s">
        <v>442</v>
      </c>
      <c r="C73" s="126" t="s">
        <v>443</v>
      </c>
      <c r="D73" s="51" t="s">
        <v>444</v>
      </c>
      <c r="E73" s="51" t="s">
        <v>171</v>
      </c>
      <c r="F73" s="51" t="s">
        <v>172</v>
      </c>
      <c r="G73" s="127">
        <f>(ProductMaster_iPST_iPower[[#This Row],[SellPrice (Inc. VAT)]]*100)/107</f>
        <v>1166.3551401869158</v>
      </c>
      <c r="H73" s="128">
        <v>1248</v>
      </c>
      <c r="I73" s="134" t="s">
        <v>445</v>
      </c>
      <c r="J73" s="51"/>
      <c r="K73" s="51"/>
      <c r="L73" s="132"/>
      <c r="M73" s="51"/>
      <c r="N73" s="51"/>
      <c r="O73" s="51"/>
      <c r="P73" s="51"/>
      <c r="S73" s="51"/>
    </row>
    <row r="74" spans="1:19" hidden="1">
      <c r="A74" s="133">
        <v>45242132096</v>
      </c>
      <c r="B74" s="51" t="s">
        <v>446</v>
      </c>
      <c r="C74" s="126" t="s">
        <v>447</v>
      </c>
      <c r="D74" s="51" t="s">
        <v>448</v>
      </c>
      <c r="E74" s="51" t="s">
        <v>171</v>
      </c>
      <c r="F74" s="51" t="s">
        <v>172</v>
      </c>
      <c r="G74" s="127">
        <f>(ProductMaster_iPST_iPower[[#This Row],[SellPrice (Inc. VAT)]]*100)/107</f>
        <v>1166.3551401869158</v>
      </c>
      <c r="H74" s="128">
        <v>1248</v>
      </c>
      <c r="I74" s="134" t="s">
        <v>449</v>
      </c>
      <c r="J74" s="51"/>
      <c r="K74" s="51"/>
      <c r="L74" s="132"/>
      <c r="M74" s="51"/>
      <c r="N74" s="51"/>
      <c r="O74" s="51"/>
      <c r="P74" s="51"/>
      <c r="S74" s="51"/>
    </row>
    <row r="75" spans="1:19" hidden="1">
      <c r="A75" s="133">
        <v>45242302451</v>
      </c>
      <c r="B75" s="51" t="s">
        <v>450</v>
      </c>
      <c r="C75" s="126" t="s">
        <v>451</v>
      </c>
      <c r="D75" s="51" t="s">
        <v>452</v>
      </c>
      <c r="E75" s="51" t="s">
        <v>171</v>
      </c>
      <c r="F75" s="51" t="s">
        <v>172</v>
      </c>
      <c r="G75" s="127">
        <f>(ProductMaster_iPST_iPower[[#This Row],[SellPrice (Inc. VAT)]]*100)/107</f>
        <v>1428.0373831775701</v>
      </c>
      <c r="H75" s="128">
        <v>1528</v>
      </c>
      <c r="I75" s="134" t="s">
        <v>453</v>
      </c>
      <c r="J75" s="51"/>
      <c r="K75" s="51"/>
      <c r="L75" s="132"/>
      <c r="M75" s="51"/>
      <c r="N75" s="51"/>
      <c r="O75" s="51"/>
      <c r="P75" s="51"/>
      <c r="S75" s="51"/>
    </row>
    <row r="76" spans="1:19" hidden="1">
      <c r="A76" s="133">
        <v>45242195039</v>
      </c>
      <c r="B76" s="51" t="s">
        <v>454</v>
      </c>
      <c r="C76" s="126" t="s">
        <v>455</v>
      </c>
      <c r="D76" s="51" t="s">
        <v>456</v>
      </c>
      <c r="E76" s="51" t="s">
        <v>171</v>
      </c>
      <c r="F76" s="51" t="s">
        <v>172</v>
      </c>
      <c r="G76" s="127">
        <f>(ProductMaster_iPST_iPower[[#This Row],[SellPrice (Inc. VAT)]]*100)/107</f>
        <v>82.242990654205613</v>
      </c>
      <c r="H76" s="128">
        <v>88</v>
      </c>
      <c r="I76" s="134" t="s">
        <v>457</v>
      </c>
      <c r="J76" s="51"/>
      <c r="K76" s="51"/>
      <c r="L76" s="132"/>
      <c r="M76" s="51"/>
      <c r="N76" s="51"/>
      <c r="O76" s="51"/>
      <c r="P76" s="51"/>
      <c r="S76" s="51"/>
    </row>
    <row r="77" spans="1:19" hidden="1">
      <c r="A77" s="133">
        <v>45242195022</v>
      </c>
      <c r="B77" s="51" t="s">
        <v>458</v>
      </c>
      <c r="C77" s="126" t="s">
        <v>459</v>
      </c>
      <c r="D77" s="51" t="s">
        <v>460</v>
      </c>
      <c r="E77" s="51" t="s">
        <v>171</v>
      </c>
      <c r="F77" s="51" t="s">
        <v>172</v>
      </c>
      <c r="G77" s="127">
        <f>(ProductMaster_iPST_iPower[[#This Row],[SellPrice (Inc. VAT)]]*100)/107</f>
        <v>82.242990654205613</v>
      </c>
      <c r="H77" s="128">
        <v>88</v>
      </c>
      <c r="I77" s="134" t="s">
        <v>461</v>
      </c>
      <c r="J77" s="51"/>
      <c r="K77" s="51"/>
      <c r="L77" s="132"/>
      <c r="M77" s="51"/>
      <c r="N77" s="51"/>
      <c r="O77" s="51"/>
      <c r="P77" s="51"/>
      <c r="S77" s="51"/>
    </row>
    <row r="78" spans="1:19" hidden="1">
      <c r="A78" s="133">
        <v>45242302529</v>
      </c>
      <c r="B78" s="51" t="s">
        <v>462</v>
      </c>
      <c r="C78" s="126" t="s">
        <v>463</v>
      </c>
      <c r="D78" s="51" t="s">
        <v>464</v>
      </c>
      <c r="E78" s="51" t="s">
        <v>171</v>
      </c>
      <c r="F78" s="51" t="s">
        <v>172</v>
      </c>
      <c r="G78" s="127">
        <f>(ProductMaster_iPST_iPower[[#This Row],[SellPrice (Inc. VAT)]]*100)/107</f>
        <v>231.77570093457945</v>
      </c>
      <c r="H78" s="128">
        <v>248</v>
      </c>
      <c r="I78" s="134" t="s">
        <v>465</v>
      </c>
      <c r="J78" s="51"/>
      <c r="K78" s="51"/>
      <c r="L78" s="132"/>
      <c r="M78" s="51"/>
      <c r="N78" s="51"/>
      <c r="O78" s="51"/>
      <c r="P78" s="51"/>
      <c r="S78" s="51"/>
    </row>
    <row r="79" spans="1:19" hidden="1">
      <c r="A79" s="133">
        <v>45242233793</v>
      </c>
      <c r="B79" s="51" t="s">
        <v>466</v>
      </c>
      <c r="C79" s="126" t="s">
        <v>467</v>
      </c>
      <c r="D79" s="51" t="s">
        <v>468</v>
      </c>
      <c r="E79" s="51" t="s">
        <v>171</v>
      </c>
      <c r="F79" s="51" t="s">
        <v>172</v>
      </c>
      <c r="G79" s="127">
        <f>(ProductMaster_iPST_iPower[[#This Row],[SellPrice (Inc. VAT)]]*100)/107</f>
        <v>1764.4859813084113</v>
      </c>
      <c r="H79" s="128">
        <v>1888</v>
      </c>
      <c r="I79" s="134" t="s">
        <v>469</v>
      </c>
      <c r="J79" s="51"/>
      <c r="K79" s="51"/>
      <c r="L79" s="132"/>
      <c r="M79" s="51"/>
      <c r="N79" s="51"/>
      <c r="O79" s="51"/>
      <c r="P79" s="51"/>
      <c r="S79" s="51"/>
    </row>
    <row r="80" spans="1:19" hidden="1">
      <c r="A80" s="133">
        <v>45242568994</v>
      </c>
      <c r="B80" s="51" t="s">
        <v>470</v>
      </c>
      <c r="C80" s="126" t="s">
        <v>471</v>
      </c>
      <c r="D80" s="51" t="s">
        <v>472</v>
      </c>
      <c r="E80" s="51" t="s">
        <v>171</v>
      </c>
      <c r="F80" s="51" t="s">
        <v>172</v>
      </c>
      <c r="G80" s="127">
        <f>(ProductMaster_iPST_iPower[[#This Row],[SellPrice (Inc. VAT)]]*100)/107</f>
        <v>1764.4859813084113</v>
      </c>
      <c r="H80" s="128">
        <v>1888</v>
      </c>
      <c r="I80" s="134" t="s">
        <v>473</v>
      </c>
      <c r="J80" s="51"/>
      <c r="K80" s="51"/>
      <c r="L80" s="132"/>
      <c r="M80" s="51"/>
      <c r="N80" s="51"/>
      <c r="O80" s="51"/>
      <c r="P80" s="51"/>
      <c r="S80" s="51"/>
    </row>
    <row r="81" spans="1:19" hidden="1">
      <c r="A81" s="133">
        <v>45242160310</v>
      </c>
      <c r="B81" s="51" t="s">
        <v>474</v>
      </c>
      <c r="C81" s="126" t="s">
        <v>475</v>
      </c>
      <c r="D81" s="51" t="s">
        <v>476</v>
      </c>
      <c r="E81" s="51" t="s">
        <v>171</v>
      </c>
      <c r="F81" s="51" t="s">
        <v>172</v>
      </c>
      <c r="G81" s="127">
        <f>(ProductMaster_iPST_iPower[[#This Row],[SellPrice (Inc. VAT)]]*100)/107</f>
        <v>465.42056074766356</v>
      </c>
      <c r="H81" s="128">
        <v>498</v>
      </c>
      <c r="I81" s="134" t="s">
        <v>477</v>
      </c>
      <c r="J81" s="51"/>
      <c r="K81" s="51"/>
      <c r="L81" s="132"/>
      <c r="M81" s="51"/>
      <c r="N81" s="51"/>
      <c r="O81" s="51"/>
      <c r="P81" s="51"/>
      <c r="S81" s="51"/>
    </row>
    <row r="82" spans="1:19" hidden="1">
      <c r="A82" s="133">
        <v>45242160297</v>
      </c>
      <c r="B82" s="51" t="s">
        <v>478</v>
      </c>
      <c r="C82" s="126" t="s">
        <v>479</v>
      </c>
      <c r="D82" s="51" t="s">
        <v>480</v>
      </c>
      <c r="E82" s="51" t="s">
        <v>171</v>
      </c>
      <c r="F82" s="51" t="s">
        <v>172</v>
      </c>
      <c r="G82" s="127">
        <f>(ProductMaster_iPST_iPower[[#This Row],[SellPrice (Inc. VAT)]]*100)/107</f>
        <v>493.45794392523362</v>
      </c>
      <c r="H82" s="128">
        <v>528</v>
      </c>
      <c r="I82" s="134" t="s">
        <v>481</v>
      </c>
      <c r="J82" s="51"/>
      <c r="K82" s="51"/>
      <c r="L82" s="132"/>
      <c r="M82" s="51"/>
      <c r="N82" s="51"/>
      <c r="O82" s="51"/>
      <c r="P82" s="51"/>
      <c r="S82" s="51"/>
    </row>
    <row r="83" spans="1:19" hidden="1">
      <c r="A83" s="133">
        <v>45242571246</v>
      </c>
      <c r="B83" s="51" t="s">
        <v>482</v>
      </c>
      <c r="C83" s="126" t="s">
        <v>483</v>
      </c>
      <c r="D83" s="51" t="s">
        <v>484</v>
      </c>
      <c r="E83" s="51" t="s">
        <v>171</v>
      </c>
      <c r="F83" s="51" t="s">
        <v>172</v>
      </c>
      <c r="G83" s="127">
        <f>(ProductMaster_iPST_iPower[[#This Row],[SellPrice (Inc. VAT)]]*100)/107</f>
        <v>1381.3084112149534</v>
      </c>
      <c r="H83" s="128">
        <v>1478</v>
      </c>
      <c r="I83" s="134" t="s">
        <v>485</v>
      </c>
      <c r="J83" s="51"/>
      <c r="K83" s="51"/>
      <c r="L83" s="132"/>
      <c r="M83" s="51"/>
      <c r="N83" s="51"/>
      <c r="O83" s="51"/>
      <c r="P83" s="51"/>
      <c r="S83" s="51"/>
    </row>
    <row r="84" spans="1:19" hidden="1">
      <c r="A84" s="133">
        <v>45242593828</v>
      </c>
      <c r="B84" s="51" t="s">
        <v>486</v>
      </c>
      <c r="C84" s="126" t="s">
        <v>487</v>
      </c>
      <c r="D84" s="51" t="s">
        <v>488</v>
      </c>
      <c r="E84" s="51" t="s">
        <v>171</v>
      </c>
      <c r="F84" s="51" t="s">
        <v>172</v>
      </c>
      <c r="G84" s="127">
        <f>(ProductMaster_iPST_iPower[[#This Row],[SellPrice (Inc. VAT)]]*100)/107</f>
        <v>914.01869158878503</v>
      </c>
      <c r="H84" s="128">
        <v>978</v>
      </c>
      <c r="I84" s="134" t="s">
        <v>489</v>
      </c>
      <c r="J84" s="51"/>
      <c r="K84" s="51"/>
      <c r="L84" s="132"/>
      <c r="M84" s="51"/>
      <c r="N84" s="51"/>
      <c r="O84" s="51"/>
      <c r="P84" s="51"/>
      <c r="S84" s="51"/>
    </row>
    <row r="85" spans="1:19" hidden="1">
      <c r="A85" s="133">
        <v>4892210150523</v>
      </c>
      <c r="B85" s="51" t="s">
        <v>490</v>
      </c>
      <c r="C85" s="126" t="s">
        <v>491</v>
      </c>
      <c r="D85" s="51" t="s">
        <v>492</v>
      </c>
      <c r="E85" s="51" t="s">
        <v>171</v>
      </c>
      <c r="F85" s="51" t="s">
        <v>172</v>
      </c>
      <c r="G85" s="127">
        <f>(ProductMaster_iPST_iPower[[#This Row],[SellPrice (Inc. VAT)]]*100)/107</f>
        <v>801.86915887850466</v>
      </c>
      <c r="H85" s="128">
        <v>858</v>
      </c>
      <c r="I85" s="134" t="s">
        <v>493</v>
      </c>
      <c r="J85" s="51"/>
      <c r="K85" s="51"/>
      <c r="L85" s="132"/>
      <c r="M85" s="51"/>
      <c r="N85" s="51"/>
      <c r="O85" s="51"/>
      <c r="P85" s="51"/>
      <c r="S85" s="51"/>
    </row>
    <row r="86" spans="1:19" hidden="1">
      <c r="A86" s="133">
        <v>45242568840</v>
      </c>
      <c r="B86" s="51" t="s">
        <v>494</v>
      </c>
      <c r="C86" s="126" t="s">
        <v>495</v>
      </c>
      <c r="D86" s="51" t="s">
        <v>496</v>
      </c>
      <c r="E86" s="51" t="s">
        <v>171</v>
      </c>
      <c r="F86" s="51" t="s">
        <v>172</v>
      </c>
      <c r="G86" s="127">
        <f>(ProductMaster_iPST_iPower[[#This Row],[SellPrice (Inc. VAT)]]*100)/107</f>
        <v>680.37383177570098</v>
      </c>
      <c r="H86" s="128">
        <v>728</v>
      </c>
      <c r="I86" s="134" t="s">
        <v>497</v>
      </c>
      <c r="J86" s="51"/>
      <c r="K86" s="51"/>
      <c r="L86" s="132"/>
      <c r="M86" s="51"/>
      <c r="N86" s="51"/>
      <c r="O86" s="51"/>
      <c r="P86" s="51"/>
      <c r="S86" s="51"/>
    </row>
    <row r="87" spans="1:19" hidden="1">
      <c r="A87" s="133">
        <v>45242160365</v>
      </c>
      <c r="B87" s="51" t="s">
        <v>498</v>
      </c>
      <c r="C87" s="126" t="s">
        <v>499</v>
      </c>
      <c r="D87" s="51" t="s">
        <v>500</v>
      </c>
      <c r="E87" s="51" t="s">
        <v>171</v>
      </c>
      <c r="F87" s="51" t="s">
        <v>172</v>
      </c>
      <c r="G87" s="127">
        <f>(ProductMaster_iPST_iPower[[#This Row],[SellPrice (Inc. VAT)]]*100)/107</f>
        <v>1157.0093457943926</v>
      </c>
      <c r="H87" s="128">
        <v>1238</v>
      </c>
      <c r="I87" s="134" t="s">
        <v>501</v>
      </c>
      <c r="J87" s="51"/>
      <c r="K87" s="51"/>
      <c r="L87" s="132"/>
      <c r="M87" s="51"/>
      <c r="N87" s="51"/>
      <c r="O87" s="51"/>
      <c r="P87" s="51"/>
      <c r="S87" s="51"/>
    </row>
    <row r="88" spans="1:19" hidden="1">
      <c r="A88" s="133">
        <v>4002395320134</v>
      </c>
      <c r="B88" s="51" t="s">
        <v>502</v>
      </c>
      <c r="C88" s="126" t="s">
        <v>503</v>
      </c>
      <c r="D88" s="51" t="s">
        <v>504</v>
      </c>
      <c r="E88" s="51" t="s">
        <v>171</v>
      </c>
      <c r="F88" s="51" t="s">
        <v>172</v>
      </c>
      <c r="G88" s="127">
        <f>(ProductMaster_iPST_iPower[[#This Row],[SellPrice (Inc. VAT)]]*100)/107</f>
        <v>194.39252336448598</v>
      </c>
      <c r="H88" s="128">
        <v>208</v>
      </c>
      <c r="I88" s="134" t="s">
        <v>505</v>
      </c>
      <c r="J88" s="51"/>
      <c r="K88" s="51"/>
      <c r="L88" s="132"/>
      <c r="M88" s="51"/>
      <c r="N88" s="51"/>
      <c r="O88" s="51"/>
      <c r="P88" s="51"/>
      <c r="S88" s="51"/>
    </row>
    <row r="89" spans="1:19" hidden="1">
      <c r="A89" s="133">
        <v>4058546221850</v>
      </c>
      <c r="B89" s="51" t="s">
        <v>506</v>
      </c>
      <c r="C89" s="126" t="s">
        <v>507</v>
      </c>
      <c r="D89" s="51" t="s">
        <v>508</v>
      </c>
      <c r="E89" s="51" t="s">
        <v>171</v>
      </c>
      <c r="F89" s="51" t="s">
        <v>172</v>
      </c>
      <c r="G89" s="127">
        <f>(ProductMaster_iPST_iPower[[#This Row],[SellPrice (Inc. VAT)]]*100)/107</f>
        <v>829.90654205607473</v>
      </c>
      <c r="H89" s="128">
        <v>888</v>
      </c>
      <c r="I89" s="134" t="s">
        <v>509</v>
      </c>
      <c r="J89" s="51"/>
      <c r="K89" s="51"/>
      <c r="L89" s="132"/>
      <c r="M89" s="51"/>
      <c r="N89" s="51"/>
      <c r="O89" s="51"/>
      <c r="P89" s="51"/>
      <c r="S89" s="51"/>
    </row>
    <row r="90" spans="1:19" hidden="1">
      <c r="A90" s="133">
        <v>4058546224424</v>
      </c>
      <c r="B90" s="51" t="s">
        <v>510</v>
      </c>
      <c r="C90" s="126" t="s">
        <v>511</v>
      </c>
      <c r="D90" s="51" t="s">
        <v>512</v>
      </c>
      <c r="E90" s="51" t="s">
        <v>171</v>
      </c>
      <c r="F90" s="51" t="s">
        <v>172</v>
      </c>
      <c r="G90" s="127">
        <f>(ProductMaster_iPST_iPower[[#This Row],[SellPrice (Inc. VAT)]]*100)/107</f>
        <v>10175.700934579439</v>
      </c>
      <c r="H90" s="128">
        <v>10888</v>
      </c>
      <c r="I90" s="134" t="s">
        <v>513</v>
      </c>
      <c r="J90" s="51"/>
      <c r="K90" s="51"/>
      <c r="L90" s="132"/>
      <c r="M90" s="51"/>
      <c r="N90" s="51"/>
      <c r="O90" s="51"/>
      <c r="P90" s="51"/>
      <c r="S90" s="51"/>
    </row>
    <row r="91" spans="1:19" hidden="1">
      <c r="A91" s="133">
        <v>45242774050</v>
      </c>
      <c r="B91" s="51" t="s">
        <v>514</v>
      </c>
      <c r="C91" s="126" t="s">
        <v>515</v>
      </c>
      <c r="D91" s="51" t="s">
        <v>516</v>
      </c>
      <c r="E91" s="51" t="s">
        <v>171</v>
      </c>
      <c r="F91" s="51" t="s">
        <v>172</v>
      </c>
      <c r="G91" s="127">
        <f>(ProductMaster_iPST_iPower[[#This Row],[SellPrice (Inc. VAT)]]*100)/107</f>
        <v>362.61682242990656</v>
      </c>
      <c r="H91" s="128">
        <v>388</v>
      </c>
      <c r="I91" s="134" t="s">
        <v>517</v>
      </c>
      <c r="J91" s="51"/>
      <c r="K91" s="51"/>
      <c r="L91" s="132"/>
      <c r="M91" s="51"/>
      <c r="N91" s="51"/>
      <c r="O91" s="51"/>
      <c r="P91" s="51"/>
      <c r="S91" s="51"/>
    </row>
    <row r="92" spans="1:19" hidden="1">
      <c r="A92" s="133">
        <v>45242774067</v>
      </c>
      <c r="B92" s="51" t="s">
        <v>518</v>
      </c>
      <c r="C92" s="126" t="s">
        <v>519</v>
      </c>
      <c r="D92" s="51" t="s">
        <v>520</v>
      </c>
      <c r="E92" s="51" t="s">
        <v>171</v>
      </c>
      <c r="F92" s="51" t="s">
        <v>172</v>
      </c>
      <c r="G92" s="127">
        <f>(ProductMaster_iPST_iPower[[#This Row],[SellPrice (Inc. VAT)]]*100)/107</f>
        <v>362.61682242990656</v>
      </c>
      <c r="H92" s="128">
        <v>388</v>
      </c>
      <c r="I92" s="134" t="s">
        <v>521</v>
      </c>
      <c r="J92" s="51"/>
      <c r="K92" s="51"/>
      <c r="L92" s="132"/>
      <c r="M92" s="51"/>
      <c r="N92" s="51"/>
      <c r="O92" s="51"/>
      <c r="P92" s="51"/>
      <c r="S92" s="51"/>
    </row>
    <row r="93" spans="1:19" hidden="1">
      <c r="A93" s="133">
        <v>45242611683</v>
      </c>
      <c r="B93" s="51" t="s">
        <v>522</v>
      </c>
      <c r="C93" s="126" t="s">
        <v>523</v>
      </c>
      <c r="D93" s="51" t="s">
        <v>524</v>
      </c>
      <c r="E93" s="51" t="s">
        <v>171</v>
      </c>
      <c r="F93" s="51" t="s">
        <v>172</v>
      </c>
      <c r="G93" s="127">
        <f>(ProductMaster_iPST_iPower[[#This Row],[SellPrice (Inc. VAT)]]*100)/107</f>
        <v>2418.6915887850469</v>
      </c>
      <c r="H93" s="128">
        <v>2588</v>
      </c>
      <c r="I93" s="134" t="s">
        <v>525</v>
      </c>
      <c r="J93" s="51"/>
      <c r="K93" s="51"/>
      <c r="L93" s="132"/>
      <c r="M93" s="51"/>
      <c r="N93" s="51"/>
      <c r="O93" s="51"/>
      <c r="P93" s="51"/>
      <c r="S93" s="51"/>
    </row>
    <row r="94" spans="1:19" hidden="1">
      <c r="A94" s="133">
        <v>45242616657</v>
      </c>
      <c r="B94" s="51" t="s">
        <v>526</v>
      </c>
      <c r="C94" s="126" t="s">
        <v>527</v>
      </c>
      <c r="D94" s="51" t="s">
        <v>528</v>
      </c>
      <c r="E94" s="51" t="s">
        <v>171</v>
      </c>
      <c r="F94" s="51" t="s">
        <v>172</v>
      </c>
      <c r="G94" s="127">
        <f>(ProductMaster_iPST_iPower[[#This Row],[SellPrice (Inc. VAT)]]*100)/107</f>
        <v>2699.0654205607475</v>
      </c>
      <c r="H94" s="128">
        <v>2888</v>
      </c>
      <c r="I94" s="134" t="s">
        <v>529</v>
      </c>
      <c r="J94" s="51"/>
      <c r="K94" s="51"/>
      <c r="L94" s="132"/>
      <c r="M94" s="51"/>
      <c r="N94" s="51"/>
      <c r="O94" s="51"/>
      <c r="P94" s="51"/>
      <c r="S94" s="51"/>
    </row>
    <row r="95" spans="1:19" hidden="1">
      <c r="A95" s="133">
        <v>45242582556</v>
      </c>
      <c r="B95" s="51" t="s">
        <v>530</v>
      </c>
      <c r="C95" s="126" t="s">
        <v>531</v>
      </c>
      <c r="D95" s="51" t="s">
        <v>532</v>
      </c>
      <c r="E95" s="51" t="s">
        <v>171</v>
      </c>
      <c r="F95" s="51" t="s">
        <v>172</v>
      </c>
      <c r="G95" s="127">
        <f>(ProductMaster_iPST_iPower[[#This Row],[SellPrice (Inc. VAT)]]*100)/107</f>
        <v>1867.2897196261683</v>
      </c>
      <c r="H95" s="128">
        <v>1998</v>
      </c>
      <c r="I95" s="134" t="s">
        <v>533</v>
      </c>
      <c r="J95" s="51"/>
      <c r="K95" s="51"/>
      <c r="L95" s="132"/>
      <c r="M95" s="51"/>
      <c r="N95" s="51"/>
      <c r="O95" s="51"/>
      <c r="P95" s="51"/>
      <c r="S95" s="51"/>
    </row>
    <row r="96" spans="1:19" hidden="1">
      <c r="A96" s="133">
        <v>45242582563</v>
      </c>
      <c r="B96" s="51" t="s">
        <v>534</v>
      </c>
      <c r="C96" s="126" t="s">
        <v>535</v>
      </c>
      <c r="D96" s="51" t="s">
        <v>536</v>
      </c>
      <c r="E96" s="51" t="s">
        <v>171</v>
      </c>
      <c r="F96" s="51" t="s">
        <v>172</v>
      </c>
      <c r="G96" s="127">
        <f>(ProductMaster_iPST_iPower[[#This Row],[SellPrice (Inc. VAT)]]*100)/107</f>
        <v>2689.7196261682243</v>
      </c>
      <c r="H96" s="128">
        <v>2878</v>
      </c>
      <c r="I96" s="134" t="s">
        <v>537</v>
      </c>
      <c r="J96" s="51"/>
      <c r="K96" s="51"/>
      <c r="L96" s="132"/>
      <c r="M96" s="51"/>
      <c r="N96" s="51"/>
      <c r="O96" s="51"/>
      <c r="P96" s="51"/>
      <c r="S96" s="51"/>
    </row>
    <row r="97" spans="1:19" hidden="1">
      <c r="A97" s="133">
        <v>4892210233929</v>
      </c>
      <c r="B97" s="51" t="s">
        <v>538</v>
      </c>
      <c r="C97" s="126" t="s">
        <v>539</v>
      </c>
      <c r="D97" s="51" t="s">
        <v>540</v>
      </c>
      <c r="E97" s="51" t="s">
        <v>171</v>
      </c>
      <c r="F97" s="51" t="s">
        <v>172</v>
      </c>
      <c r="G97" s="127">
        <f>(ProductMaster_iPST_iPower[[#This Row],[SellPrice (Inc. VAT)]]*100)/107</f>
        <v>1110.2803738317757</v>
      </c>
      <c r="H97" s="128">
        <v>1188</v>
      </c>
      <c r="I97" s="134" t="s">
        <v>541</v>
      </c>
      <c r="J97" s="51"/>
      <c r="K97" s="51"/>
      <c r="L97" s="132"/>
      <c r="M97" s="51"/>
      <c r="N97" s="51"/>
      <c r="O97" s="51"/>
      <c r="P97" s="51"/>
      <c r="S97" s="51"/>
    </row>
    <row r="98" spans="1:19" hidden="1">
      <c r="A98" s="133">
        <v>4892210191557</v>
      </c>
      <c r="B98" s="51" t="s">
        <v>542</v>
      </c>
      <c r="C98" s="126" t="s">
        <v>543</v>
      </c>
      <c r="D98" s="51" t="s">
        <v>544</v>
      </c>
      <c r="E98" s="51" t="s">
        <v>171</v>
      </c>
      <c r="F98" s="51" t="s">
        <v>172</v>
      </c>
      <c r="G98" s="127">
        <f>(ProductMaster_iPST_iPower[[#This Row],[SellPrice (Inc. VAT)]]*100)/107</f>
        <v>801.86915887850466</v>
      </c>
      <c r="H98" s="128">
        <v>858</v>
      </c>
      <c r="I98" s="134" t="s">
        <v>545</v>
      </c>
      <c r="J98" s="51"/>
      <c r="K98" s="51"/>
      <c r="L98" s="132"/>
      <c r="M98" s="51"/>
      <c r="N98" s="51"/>
      <c r="O98" s="51"/>
      <c r="P98" s="51"/>
      <c r="S98" s="51"/>
    </row>
    <row r="99" spans="1:19" hidden="1">
      <c r="A99" s="133">
        <v>4058546348144</v>
      </c>
      <c r="B99" s="51" t="s">
        <v>546</v>
      </c>
      <c r="C99" s="126">
        <v>4932478621</v>
      </c>
      <c r="D99" s="51" t="s">
        <v>547</v>
      </c>
      <c r="E99" s="51" t="s">
        <v>548</v>
      </c>
      <c r="F99" s="51" t="s">
        <v>172</v>
      </c>
      <c r="G99" s="127">
        <f>(ProductMaster_iPST_iPower[[#This Row],[SellPrice (Inc. VAT)]]*100)/107</f>
        <v>633.64485981308417</v>
      </c>
      <c r="H99" s="128">
        <v>678</v>
      </c>
      <c r="I99" s="134" t="s">
        <v>549</v>
      </c>
      <c r="J99" s="51"/>
      <c r="K99" s="51"/>
      <c r="L99" s="132"/>
      <c r="M99" s="51"/>
      <c r="N99" s="51"/>
      <c r="O99" s="51"/>
      <c r="P99" s="51"/>
      <c r="S99" s="51"/>
    </row>
    <row r="100" spans="1:19" hidden="1">
      <c r="A100" s="133">
        <v>45242638796</v>
      </c>
      <c r="B100" s="51" t="s">
        <v>550</v>
      </c>
      <c r="C100" s="126" t="s">
        <v>551</v>
      </c>
      <c r="D100" s="51" t="s">
        <v>552</v>
      </c>
      <c r="E100" s="51" t="s">
        <v>548</v>
      </c>
      <c r="F100" s="51" t="s">
        <v>172</v>
      </c>
      <c r="G100" s="127">
        <f>(ProductMaster_iPST_iPower[[#This Row],[SellPrice (Inc. VAT)]]*100)/107</f>
        <v>829.90654205607473</v>
      </c>
      <c r="H100" s="128">
        <v>888</v>
      </c>
      <c r="I100" s="134" t="s">
        <v>553</v>
      </c>
      <c r="J100" s="51"/>
      <c r="K100" s="51"/>
      <c r="L100" s="132"/>
      <c r="M100" s="51"/>
      <c r="N100" s="51"/>
      <c r="O100" s="51"/>
      <c r="P100" s="51"/>
      <c r="S100" s="51"/>
    </row>
    <row r="101" spans="1:19" hidden="1">
      <c r="A101" s="133">
        <v>4892210183637</v>
      </c>
      <c r="B101" s="51" t="s">
        <v>554</v>
      </c>
      <c r="C101" s="126" t="s">
        <v>555</v>
      </c>
      <c r="D101" s="51" t="s">
        <v>556</v>
      </c>
      <c r="E101" s="51" t="s">
        <v>548</v>
      </c>
      <c r="F101" s="51" t="s">
        <v>172</v>
      </c>
      <c r="G101" s="127">
        <f>(ProductMaster_iPST_iPower[[#This Row],[SellPrice (Inc. VAT)]]*100)/107</f>
        <v>633.64485981308417</v>
      </c>
      <c r="H101" s="128">
        <v>678</v>
      </c>
      <c r="I101" s="134" t="s">
        <v>557</v>
      </c>
      <c r="J101" s="51"/>
      <c r="K101" s="51"/>
      <c r="L101" s="132"/>
      <c r="M101" s="51"/>
      <c r="N101" s="51"/>
      <c r="O101" s="51"/>
      <c r="P101" s="51"/>
      <c r="S101" s="51"/>
    </row>
    <row r="102" spans="1:19" hidden="1">
      <c r="A102" s="133">
        <v>4892210183644</v>
      </c>
      <c r="B102" s="51" t="s">
        <v>558</v>
      </c>
      <c r="C102" s="126" t="s">
        <v>559</v>
      </c>
      <c r="D102" s="51" t="s">
        <v>560</v>
      </c>
      <c r="E102" s="51" t="s">
        <v>548</v>
      </c>
      <c r="F102" s="51" t="s">
        <v>172</v>
      </c>
      <c r="G102" s="127">
        <f>(ProductMaster_iPST_iPower[[#This Row],[SellPrice (Inc. VAT)]]*100)/107</f>
        <v>783.17757009345792</v>
      </c>
      <c r="H102" s="128">
        <v>838</v>
      </c>
      <c r="I102" s="134" t="s">
        <v>561</v>
      </c>
      <c r="J102" s="51"/>
      <c r="K102" s="51"/>
      <c r="L102" s="132"/>
      <c r="M102" s="51"/>
      <c r="N102" s="51"/>
      <c r="O102" s="51"/>
      <c r="P102" s="51"/>
      <c r="S102" s="51"/>
    </row>
    <row r="103" spans="1:19" hidden="1">
      <c r="A103" s="133">
        <v>45242573912</v>
      </c>
      <c r="B103" s="51" t="s">
        <v>562</v>
      </c>
      <c r="C103" s="126" t="s">
        <v>563</v>
      </c>
      <c r="D103" s="51" t="s">
        <v>564</v>
      </c>
      <c r="E103" s="51" t="s">
        <v>565</v>
      </c>
      <c r="F103" s="51" t="s">
        <v>172</v>
      </c>
      <c r="G103" s="127">
        <f>(ProductMaster_iPST_iPower[[#This Row],[SellPrice (Inc. VAT)]]*100)/107</f>
        <v>699.06542056074761</v>
      </c>
      <c r="H103" s="128">
        <v>748</v>
      </c>
      <c r="I103" s="134" t="s">
        <v>566</v>
      </c>
      <c r="J103" s="51"/>
      <c r="K103" s="51"/>
      <c r="L103" s="132"/>
      <c r="M103" s="51"/>
      <c r="N103" s="51"/>
      <c r="O103" s="51"/>
      <c r="P103" s="51"/>
      <c r="S103" s="51"/>
    </row>
    <row r="104" spans="1:19" hidden="1">
      <c r="A104" s="133">
        <v>45242534470</v>
      </c>
      <c r="B104" s="51" t="s">
        <v>567</v>
      </c>
      <c r="C104" s="126" t="s">
        <v>568</v>
      </c>
      <c r="D104" s="51" t="s">
        <v>569</v>
      </c>
      <c r="E104" s="51" t="s">
        <v>548</v>
      </c>
      <c r="F104" s="51" t="s">
        <v>172</v>
      </c>
      <c r="G104" s="127">
        <f>(ProductMaster_iPST_iPower[[#This Row],[SellPrice (Inc. VAT)]]*100)/107</f>
        <v>605.60747663551399</v>
      </c>
      <c r="H104" s="128">
        <v>648</v>
      </c>
      <c r="I104" s="134" t="s">
        <v>570</v>
      </c>
      <c r="J104" s="51"/>
      <c r="K104" s="51"/>
      <c r="L104" s="132"/>
      <c r="M104" s="51"/>
      <c r="N104" s="51"/>
      <c r="O104" s="51"/>
      <c r="P104" s="51"/>
      <c r="S104" s="51"/>
    </row>
    <row r="105" spans="1:19" hidden="1">
      <c r="A105" s="133">
        <v>45242534487</v>
      </c>
      <c r="B105" s="51" t="s">
        <v>571</v>
      </c>
      <c r="C105" s="126" t="s">
        <v>572</v>
      </c>
      <c r="D105" s="51" t="s">
        <v>573</v>
      </c>
      <c r="E105" s="51" t="s">
        <v>548</v>
      </c>
      <c r="F105" s="51" t="s">
        <v>172</v>
      </c>
      <c r="G105" s="127">
        <f>(ProductMaster_iPST_iPower[[#This Row],[SellPrice (Inc. VAT)]]*100)/107</f>
        <v>614.95327102803742</v>
      </c>
      <c r="H105" s="128">
        <v>658</v>
      </c>
      <c r="I105" s="134" t="s">
        <v>574</v>
      </c>
      <c r="J105" s="51"/>
      <c r="K105" s="51"/>
      <c r="L105" s="132"/>
      <c r="M105" s="51"/>
      <c r="N105" s="51"/>
      <c r="O105" s="51"/>
      <c r="P105" s="51"/>
      <c r="S105" s="51"/>
    </row>
    <row r="106" spans="1:19" hidden="1">
      <c r="A106" s="133">
        <v>45242534494</v>
      </c>
      <c r="B106" s="51" t="s">
        <v>575</v>
      </c>
      <c r="C106" s="126" t="s">
        <v>576</v>
      </c>
      <c r="D106" s="51" t="s">
        <v>577</v>
      </c>
      <c r="E106" s="51" t="s">
        <v>548</v>
      </c>
      <c r="F106" s="51" t="s">
        <v>172</v>
      </c>
      <c r="G106" s="127">
        <f>(ProductMaster_iPST_iPower[[#This Row],[SellPrice (Inc. VAT)]]*100)/107</f>
        <v>727.10280373831779</v>
      </c>
      <c r="H106" s="128">
        <v>778</v>
      </c>
      <c r="I106" s="134" t="s">
        <v>578</v>
      </c>
      <c r="J106" s="51"/>
      <c r="K106" s="51"/>
      <c r="L106" s="132"/>
      <c r="M106" s="51"/>
      <c r="N106" s="51"/>
      <c r="O106" s="51"/>
      <c r="P106" s="51"/>
      <c r="S106" s="51"/>
    </row>
    <row r="107" spans="1:19" hidden="1">
      <c r="A107" s="133">
        <v>45242534500</v>
      </c>
      <c r="B107" s="51" t="s">
        <v>579</v>
      </c>
      <c r="C107" s="126" t="s">
        <v>580</v>
      </c>
      <c r="D107" s="51" t="s">
        <v>581</v>
      </c>
      <c r="E107" s="51" t="s">
        <v>548</v>
      </c>
      <c r="F107" s="51" t="s">
        <v>172</v>
      </c>
      <c r="G107" s="127">
        <f>(ProductMaster_iPST_iPower[[#This Row],[SellPrice (Inc. VAT)]]*100)/107</f>
        <v>876.63551401869154</v>
      </c>
      <c r="H107" s="128">
        <v>938</v>
      </c>
      <c r="I107" s="134" t="s">
        <v>582</v>
      </c>
      <c r="J107" s="51"/>
      <c r="K107" s="51"/>
      <c r="L107" s="132"/>
      <c r="M107" s="51"/>
      <c r="N107" s="51"/>
      <c r="O107" s="51"/>
      <c r="P107" s="51"/>
      <c r="S107" s="51"/>
    </row>
    <row r="108" spans="1:19" hidden="1">
      <c r="A108" s="133">
        <v>45242551453</v>
      </c>
      <c r="B108" s="51" t="s">
        <v>583</v>
      </c>
      <c r="C108" s="126" t="s">
        <v>584</v>
      </c>
      <c r="D108" s="51" t="s">
        <v>585</v>
      </c>
      <c r="E108" s="51" t="s">
        <v>548</v>
      </c>
      <c r="F108" s="51" t="s">
        <v>172</v>
      </c>
      <c r="G108" s="127">
        <f>(ProductMaster_iPST_iPower[[#This Row],[SellPrice (Inc. VAT)]]*100)/107</f>
        <v>951.40186915887853</v>
      </c>
      <c r="H108" s="128">
        <v>1018</v>
      </c>
      <c r="I108" s="134" t="s">
        <v>586</v>
      </c>
      <c r="J108" s="51"/>
      <c r="K108" s="51"/>
      <c r="L108" s="132"/>
      <c r="M108" s="51"/>
      <c r="N108" s="51"/>
      <c r="O108" s="51"/>
      <c r="P108" s="51"/>
      <c r="S108" s="51"/>
    </row>
    <row r="109" spans="1:19" hidden="1">
      <c r="A109" s="133">
        <v>45242534395</v>
      </c>
      <c r="B109" s="51" t="s">
        <v>587</v>
      </c>
      <c r="C109" s="126" t="s">
        <v>588</v>
      </c>
      <c r="D109" s="51" t="s">
        <v>589</v>
      </c>
      <c r="E109" s="51" t="s">
        <v>548</v>
      </c>
      <c r="F109" s="51" t="s">
        <v>172</v>
      </c>
      <c r="G109" s="127">
        <f>(ProductMaster_iPST_iPower[[#This Row],[SellPrice (Inc. VAT)]]*100)/107</f>
        <v>446.72897196261681</v>
      </c>
      <c r="H109" s="128">
        <v>478</v>
      </c>
      <c r="I109" s="134" t="s">
        <v>590</v>
      </c>
      <c r="J109" s="51"/>
      <c r="K109" s="51"/>
      <c r="L109" s="132"/>
      <c r="M109" s="51"/>
      <c r="N109" s="51"/>
      <c r="O109" s="51"/>
      <c r="P109" s="51"/>
      <c r="S109" s="51"/>
    </row>
    <row r="110" spans="1:19" hidden="1">
      <c r="A110" s="133">
        <v>45242359158</v>
      </c>
      <c r="B110" s="51" t="s">
        <v>591</v>
      </c>
      <c r="C110" s="126" t="s">
        <v>592</v>
      </c>
      <c r="D110" s="51" t="s">
        <v>593</v>
      </c>
      <c r="E110" s="51" t="s">
        <v>548</v>
      </c>
      <c r="F110" s="51" t="s">
        <v>172</v>
      </c>
      <c r="G110" s="127">
        <f>(ProductMaster_iPST_iPower[[#This Row],[SellPrice (Inc. VAT)]]*100)/107</f>
        <v>1465.4205607476636</v>
      </c>
      <c r="H110" s="128">
        <v>1568</v>
      </c>
      <c r="I110" s="134" t="s">
        <v>594</v>
      </c>
      <c r="J110" s="51"/>
      <c r="K110" s="51"/>
      <c r="L110" s="132"/>
      <c r="M110" s="51"/>
      <c r="N110" s="51"/>
      <c r="O110" s="51"/>
      <c r="P110" s="51"/>
      <c r="S110" s="51"/>
    </row>
    <row r="111" spans="1:19" hidden="1">
      <c r="A111" s="133">
        <v>45242359172</v>
      </c>
      <c r="B111" s="51" t="s">
        <v>595</v>
      </c>
      <c r="C111" s="126" t="s">
        <v>596</v>
      </c>
      <c r="D111" s="51" t="s">
        <v>597</v>
      </c>
      <c r="E111" s="51" t="s">
        <v>548</v>
      </c>
      <c r="F111" s="51" t="s">
        <v>172</v>
      </c>
      <c r="G111" s="127">
        <f>(ProductMaster_iPST_iPower[[#This Row],[SellPrice (Inc. VAT)]]*100)/107</f>
        <v>1671.0280373831777</v>
      </c>
      <c r="H111" s="128">
        <v>1788</v>
      </c>
      <c r="I111" s="134" t="s">
        <v>598</v>
      </c>
      <c r="J111" s="51"/>
      <c r="K111" s="51"/>
      <c r="L111" s="132"/>
      <c r="M111" s="51"/>
      <c r="N111" s="51"/>
      <c r="O111" s="51"/>
      <c r="P111" s="51"/>
      <c r="S111" s="51"/>
    </row>
    <row r="112" spans="1:19" hidden="1">
      <c r="A112" s="133">
        <v>45242630585</v>
      </c>
      <c r="B112" s="51" t="s">
        <v>599</v>
      </c>
      <c r="C112" s="126" t="s">
        <v>600</v>
      </c>
      <c r="D112" s="51" t="s">
        <v>601</v>
      </c>
      <c r="E112" s="51" t="s">
        <v>548</v>
      </c>
      <c r="F112" s="51" t="s">
        <v>172</v>
      </c>
      <c r="G112" s="127">
        <f>(ProductMaster_iPST_iPower[[#This Row],[SellPrice (Inc. VAT)]]*100)/107</f>
        <v>549.53271028037386</v>
      </c>
      <c r="H112" s="128">
        <v>588</v>
      </c>
      <c r="I112" s="134" t="s">
        <v>602</v>
      </c>
      <c r="J112" s="51"/>
      <c r="K112" s="51"/>
      <c r="L112" s="132"/>
      <c r="M112" s="51"/>
      <c r="N112" s="51"/>
      <c r="O112" s="51"/>
      <c r="P112" s="51"/>
      <c r="S112" s="51"/>
    </row>
    <row r="113" spans="1:19" hidden="1">
      <c r="A113" s="133">
        <v>45242645701</v>
      </c>
      <c r="B113" s="51" t="s">
        <v>603</v>
      </c>
      <c r="C113" s="126" t="s">
        <v>604</v>
      </c>
      <c r="D113" s="51" t="s">
        <v>605</v>
      </c>
      <c r="E113" s="51" t="s">
        <v>565</v>
      </c>
      <c r="F113" s="51" t="s">
        <v>172</v>
      </c>
      <c r="G113" s="127">
        <f>(ProductMaster_iPST_iPower[[#This Row],[SellPrice (Inc. VAT)]]*100)/107</f>
        <v>549.53271028037386</v>
      </c>
      <c r="H113" s="128">
        <v>588</v>
      </c>
      <c r="I113" s="134" t="s">
        <v>606</v>
      </c>
      <c r="J113" s="51"/>
      <c r="K113" s="51"/>
      <c r="L113" s="132"/>
      <c r="M113" s="51"/>
      <c r="N113" s="51"/>
      <c r="O113" s="51"/>
      <c r="P113" s="51"/>
      <c r="S113" s="51"/>
    </row>
    <row r="114" spans="1:19" hidden="1">
      <c r="A114" s="133">
        <v>45242508006</v>
      </c>
      <c r="B114" s="51" t="s">
        <v>607</v>
      </c>
      <c r="C114" s="126" t="s">
        <v>608</v>
      </c>
      <c r="D114" s="51" t="s">
        <v>609</v>
      </c>
      <c r="E114" s="51" t="s">
        <v>548</v>
      </c>
      <c r="F114" s="51" t="s">
        <v>172</v>
      </c>
      <c r="G114" s="127">
        <f>(ProductMaster_iPST_iPower[[#This Row],[SellPrice (Inc. VAT)]]*100)/107</f>
        <v>390.65420560747663</v>
      </c>
      <c r="H114" s="128">
        <v>418</v>
      </c>
      <c r="I114" s="134" t="s">
        <v>610</v>
      </c>
      <c r="J114" s="51"/>
      <c r="K114" s="51"/>
      <c r="L114" s="132"/>
      <c r="M114" s="51"/>
      <c r="N114" s="51"/>
      <c r="O114" s="51"/>
      <c r="P114" s="51"/>
      <c r="S114" s="51"/>
    </row>
    <row r="115" spans="1:19" hidden="1">
      <c r="A115" s="133">
        <v>45242630479</v>
      </c>
      <c r="B115" s="51" t="s">
        <v>611</v>
      </c>
      <c r="C115" s="126" t="s">
        <v>612</v>
      </c>
      <c r="D115" s="51" t="s">
        <v>613</v>
      </c>
      <c r="E115" s="51" t="s">
        <v>548</v>
      </c>
      <c r="F115" s="51" t="s">
        <v>172</v>
      </c>
      <c r="G115" s="127">
        <f>(ProductMaster_iPST_iPower[[#This Row],[SellPrice (Inc. VAT)]]*100)/107</f>
        <v>923.36448598130846</v>
      </c>
      <c r="H115" s="128">
        <v>988</v>
      </c>
      <c r="I115" s="134" t="s">
        <v>614</v>
      </c>
      <c r="J115" s="51"/>
      <c r="K115" s="51"/>
      <c r="L115" s="132"/>
      <c r="M115" s="51"/>
      <c r="N115" s="51"/>
      <c r="O115" s="51"/>
      <c r="P115" s="51"/>
      <c r="S115" s="51"/>
    </row>
    <row r="116" spans="1:19" hidden="1">
      <c r="A116" s="133">
        <v>45242630547</v>
      </c>
      <c r="B116" s="51" t="s">
        <v>615</v>
      </c>
      <c r="C116" s="126" t="s">
        <v>616</v>
      </c>
      <c r="D116" s="51" t="s">
        <v>617</v>
      </c>
      <c r="E116" s="51" t="s">
        <v>548</v>
      </c>
      <c r="F116" s="51" t="s">
        <v>172</v>
      </c>
      <c r="G116" s="127">
        <f>(ProductMaster_iPST_iPower[[#This Row],[SellPrice (Inc. VAT)]]*100)/107</f>
        <v>829.90654205607473</v>
      </c>
      <c r="H116" s="128">
        <v>888</v>
      </c>
      <c r="I116" s="134" t="s">
        <v>618</v>
      </c>
      <c r="J116" s="51"/>
      <c r="K116" s="51"/>
      <c r="L116" s="132"/>
      <c r="M116" s="51"/>
      <c r="N116" s="51"/>
      <c r="O116" s="51"/>
      <c r="P116" s="51"/>
      <c r="S116" s="51"/>
    </row>
    <row r="117" spans="1:19" hidden="1">
      <c r="A117" s="133">
        <v>45242251209</v>
      </c>
      <c r="B117" s="51" t="s">
        <v>619</v>
      </c>
      <c r="C117" s="126" t="s">
        <v>620</v>
      </c>
      <c r="D117" s="51" t="s">
        <v>621</v>
      </c>
      <c r="E117" s="51" t="s">
        <v>548</v>
      </c>
      <c r="F117" s="51" t="s">
        <v>172</v>
      </c>
      <c r="G117" s="127">
        <f>(ProductMaster_iPST_iPower[[#This Row],[SellPrice (Inc. VAT)]]*100)/107</f>
        <v>1044.8598130841121</v>
      </c>
      <c r="H117" s="128">
        <v>1118</v>
      </c>
      <c r="I117" s="134" t="s">
        <v>622</v>
      </c>
      <c r="J117" s="51"/>
      <c r="K117" s="51"/>
      <c r="L117" s="132"/>
      <c r="M117" s="51"/>
      <c r="N117" s="51"/>
      <c r="O117" s="51"/>
      <c r="P117" s="51"/>
      <c r="S117" s="51"/>
    </row>
    <row r="118" spans="1:19" hidden="1">
      <c r="A118" s="133">
        <v>45242325276</v>
      </c>
      <c r="B118" s="51" t="s">
        <v>623</v>
      </c>
      <c r="C118" s="126" t="s">
        <v>624</v>
      </c>
      <c r="D118" s="51" t="s">
        <v>625</v>
      </c>
      <c r="E118" s="51" t="s">
        <v>548</v>
      </c>
      <c r="F118" s="51" t="s">
        <v>172</v>
      </c>
      <c r="G118" s="127">
        <f>(ProductMaster_iPST_iPower[[#This Row],[SellPrice (Inc. VAT)]]*100)/107</f>
        <v>493.45794392523362</v>
      </c>
      <c r="H118" s="128">
        <v>528</v>
      </c>
      <c r="I118" s="134" t="s">
        <v>626</v>
      </c>
      <c r="J118" s="51"/>
      <c r="K118" s="51"/>
      <c r="L118" s="132"/>
      <c r="M118" s="51"/>
      <c r="N118" s="51"/>
      <c r="O118" s="51"/>
      <c r="P118" s="51"/>
      <c r="S118" s="51"/>
    </row>
    <row r="119" spans="1:19" hidden="1">
      <c r="A119" s="133">
        <v>45242324996</v>
      </c>
      <c r="B119" s="51" t="s">
        <v>627</v>
      </c>
      <c r="C119" s="126" t="s">
        <v>628</v>
      </c>
      <c r="D119" s="51" t="s">
        <v>629</v>
      </c>
      <c r="E119" s="51" t="s">
        <v>548</v>
      </c>
      <c r="F119" s="51" t="s">
        <v>172</v>
      </c>
      <c r="G119" s="127">
        <f>(ProductMaster_iPST_iPower[[#This Row],[SellPrice (Inc. VAT)]]*100)/107</f>
        <v>586.91588785046724</v>
      </c>
      <c r="H119" s="128">
        <v>628</v>
      </c>
      <c r="I119" s="134" t="s">
        <v>630</v>
      </c>
      <c r="J119" s="51"/>
      <c r="K119" s="51"/>
      <c r="L119" s="132"/>
      <c r="M119" s="51"/>
      <c r="N119" s="51"/>
      <c r="O119" s="51"/>
      <c r="P119" s="51"/>
      <c r="S119" s="51"/>
    </row>
    <row r="120" spans="1:19" hidden="1">
      <c r="A120" s="133">
        <v>45242330997</v>
      </c>
      <c r="B120" s="51" t="s">
        <v>631</v>
      </c>
      <c r="C120" s="126" t="s">
        <v>632</v>
      </c>
      <c r="D120" s="51" t="s">
        <v>633</v>
      </c>
      <c r="E120" s="51" t="s">
        <v>548</v>
      </c>
      <c r="F120" s="51" t="s">
        <v>172</v>
      </c>
      <c r="G120" s="127">
        <f>(ProductMaster_iPST_iPower[[#This Row],[SellPrice (Inc. VAT)]]*100)/107</f>
        <v>820.56074766355141</v>
      </c>
      <c r="H120" s="128">
        <v>878</v>
      </c>
      <c r="I120" s="134" t="s">
        <v>634</v>
      </c>
      <c r="J120" s="51"/>
      <c r="K120" s="51"/>
      <c r="L120" s="132"/>
      <c r="M120" s="51"/>
      <c r="N120" s="51"/>
      <c r="O120" s="51"/>
      <c r="P120" s="51"/>
      <c r="S120" s="51"/>
    </row>
    <row r="121" spans="1:19" hidden="1">
      <c r="A121" s="133">
        <v>45242605255</v>
      </c>
      <c r="B121" s="51" t="s">
        <v>635</v>
      </c>
      <c r="C121" s="126" t="s">
        <v>636</v>
      </c>
      <c r="D121" s="51" t="s">
        <v>637</v>
      </c>
      <c r="E121" s="51" t="s">
        <v>548</v>
      </c>
      <c r="F121" s="51" t="s">
        <v>172</v>
      </c>
      <c r="G121" s="127">
        <f>(ProductMaster_iPST_iPower[[#This Row],[SellPrice (Inc. VAT)]]*100)/107</f>
        <v>708.41121495327104</v>
      </c>
      <c r="H121" s="128">
        <v>758</v>
      </c>
      <c r="I121" s="134" t="s">
        <v>638</v>
      </c>
      <c r="J121" s="51"/>
      <c r="K121" s="51"/>
      <c r="L121" s="132"/>
      <c r="M121" s="51"/>
      <c r="N121" s="51"/>
      <c r="O121" s="51"/>
      <c r="P121" s="51"/>
      <c r="S121" s="51"/>
    </row>
    <row r="122" spans="1:19" hidden="1">
      <c r="A122" s="133">
        <v>45242605262</v>
      </c>
      <c r="B122" s="51" t="s">
        <v>639</v>
      </c>
      <c r="C122" s="126" t="s">
        <v>640</v>
      </c>
      <c r="D122" s="51" t="s">
        <v>633</v>
      </c>
      <c r="E122" s="51" t="s">
        <v>548</v>
      </c>
      <c r="F122" s="51" t="s">
        <v>172</v>
      </c>
      <c r="G122" s="127">
        <f>(ProductMaster_iPST_iPower[[#This Row],[SellPrice (Inc. VAT)]]*100)/107</f>
        <v>820.56074766355141</v>
      </c>
      <c r="H122" s="128">
        <v>878</v>
      </c>
      <c r="I122" s="134" t="s">
        <v>641</v>
      </c>
      <c r="J122" s="51"/>
      <c r="K122" s="51"/>
      <c r="L122" s="132"/>
      <c r="M122" s="51"/>
      <c r="N122" s="51"/>
      <c r="O122" s="51"/>
      <c r="P122" s="51"/>
      <c r="S122" s="51"/>
    </row>
    <row r="123" spans="1:19" hidden="1">
      <c r="A123" s="133">
        <v>45242356423</v>
      </c>
      <c r="B123" s="51" t="s">
        <v>642</v>
      </c>
      <c r="C123" s="126" t="s">
        <v>643</v>
      </c>
      <c r="D123" s="51" t="s">
        <v>644</v>
      </c>
      <c r="E123" s="51" t="s">
        <v>548</v>
      </c>
      <c r="F123" s="51" t="s">
        <v>172</v>
      </c>
      <c r="G123" s="127">
        <f>(ProductMaster_iPST_iPower[[#This Row],[SellPrice (Inc. VAT)]]*100)/107</f>
        <v>175.70093457943926</v>
      </c>
      <c r="H123" s="128">
        <v>188</v>
      </c>
      <c r="I123" s="134" t="s">
        <v>645</v>
      </c>
      <c r="J123" s="51"/>
      <c r="K123" s="51"/>
      <c r="L123" s="132"/>
      <c r="M123" s="51"/>
      <c r="N123" s="51"/>
      <c r="O123" s="51"/>
      <c r="P123" s="51"/>
      <c r="S123" s="51"/>
    </row>
    <row r="124" spans="1:19" hidden="1">
      <c r="A124" s="133">
        <v>45242342228</v>
      </c>
      <c r="B124" s="51" t="s">
        <v>646</v>
      </c>
      <c r="C124" s="126" t="s">
        <v>647</v>
      </c>
      <c r="D124" s="51" t="s">
        <v>648</v>
      </c>
      <c r="E124" s="51" t="s">
        <v>548</v>
      </c>
      <c r="F124" s="51" t="s">
        <v>172</v>
      </c>
      <c r="G124" s="127">
        <f>(ProductMaster_iPST_iPower[[#This Row],[SellPrice (Inc. VAT)]]*100)/107</f>
        <v>998.13084112149534</v>
      </c>
      <c r="H124" s="128">
        <v>1068</v>
      </c>
      <c r="I124" s="134" t="s">
        <v>649</v>
      </c>
      <c r="J124" s="51"/>
      <c r="K124" s="51"/>
      <c r="L124" s="132"/>
      <c r="M124" s="51"/>
      <c r="N124" s="51"/>
      <c r="O124" s="51"/>
      <c r="P124" s="51"/>
      <c r="S124" s="51"/>
    </row>
    <row r="125" spans="1:19" hidden="1">
      <c r="A125" s="133">
        <v>45242342211</v>
      </c>
      <c r="B125" s="51" t="s">
        <v>650</v>
      </c>
      <c r="C125" s="126" t="s">
        <v>651</v>
      </c>
      <c r="D125" s="51" t="s">
        <v>652</v>
      </c>
      <c r="E125" s="51" t="s">
        <v>548</v>
      </c>
      <c r="F125" s="51" t="s">
        <v>172</v>
      </c>
      <c r="G125" s="127">
        <f>(ProductMaster_iPST_iPower[[#This Row],[SellPrice (Inc. VAT)]]*100)/107</f>
        <v>661.68224299065423</v>
      </c>
      <c r="H125" s="128">
        <v>708</v>
      </c>
      <c r="I125" s="134" t="s">
        <v>653</v>
      </c>
      <c r="J125" s="51"/>
      <c r="K125" s="51"/>
      <c r="L125" s="132"/>
      <c r="M125" s="51"/>
      <c r="N125" s="51"/>
      <c r="O125" s="51"/>
      <c r="P125" s="51"/>
      <c r="S125" s="51"/>
    </row>
    <row r="126" spans="1:19" hidden="1">
      <c r="A126" s="133">
        <v>45242356089</v>
      </c>
      <c r="B126" s="51" t="s">
        <v>654</v>
      </c>
      <c r="C126" s="126" t="s">
        <v>655</v>
      </c>
      <c r="D126" s="51" t="s">
        <v>656</v>
      </c>
      <c r="E126" s="51" t="s">
        <v>548</v>
      </c>
      <c r="F126" s="51" t="s">
        <v>172</v>
      </c>
      <c r="G126" s="127">
        <f>(ProductMaster_iPST_iPower[[#This Row],[SellPrice (Inc. VAT)]]*100)/107</f>
        <v>792.52336448598135</v>
      </c>
      <c r="H126" s="128">
        <v>848</v>
      </c>
      <c r="I126" s="134" t="s">
        <v>657</v>
      </c>
      <c r="J126" s="51"/>
      <c r="K126" s="51"/>
      <c r="L126" s="132"/>
      <c r="M126" s="51"/>
      <c r="N126" s="51"/>
      <c r="O126" s="51"/>
      <c r="P126" s="51"/>
      <c r="S126" s="51"/>
    </row>
    <row r="127" spans="1:19" hidden="1">
      <c r="A127" s="133">
        <v>45242342181</v>
      </c>
      <c r="B127" s="51" t="s">
        <v>658</v>
      </c>
      <c r="C127" s="126" t="s">
        <v>659</v>
      </c>
      <c r="D127" s="51" t="s">
        <v>660</v>
      </c>
      <c r="E127" s="51" t="s">
        <v>548</v>
      </c>
      <c r="F127" s="51" t="s">
        <v>172</v>
      </c>
      <c r="G127" s="127">
        <f>(ProductMaster_iPST_iPower[[#This Row],[SellPrice (Inc. VAT)]]*100)/107</f>
        <v>605.60747663551399</v>
      </c>
      <c r="H127" s="128">
        <v>648</v>
      </c>
      <c r="I127" s="134" t="s">
        <v>661</v>
      </c>
      <c r="J127" s="51"/>
      <c r="K127" s="51"/>
      <c r="L127" s="132"/>
      <c r="M127" s="51"/>
      <c r="N127" s="51"/>
      <c r="O127" s="51"/>
      <c r="P127" s="51"/>
      <c r="S127" s="51"/>
    </row>
    <row r="128" spans="1:19" hidden="1">
      <c r="A128" s="133">
        <v>45242342204</v>
      </c>
      <c r="B128" s="51" t="s">
        <v>662</v>
      </c>
      <c r="C128" s="126" t="s">
        <v>663</v>
      </c>
      <c r="D128" s="51" t="s">
        <v>664</v>
      </c>
      <c r="E128" s="51" t="s">
        <v>548</v>
      </c>
      <c r="F128" s="51" t="s">
        <v>172</v>
      </c>
      <c r="G128" s="127">
        <f>(ProductMaster_iPST_iPower[[#This Row],[SellPrice (Inc. VAT)]]*100)/107</f>
        <v>736.44859813084111</v>
      </c>
      <c r="H128" s="128">
        <v>788</v>
      </c>
      <c r="I128" s="134" t="s">
        <v>665</v>
      </c>
      <c r="J128" s="51"/>
      <c r="K128" s="51"/>
      <c r="L128" s="132"/>
      <c r="M128" s="51"/>
      <c r="N128" s="51"/>
      <c r="O128" s="51"/>
      <c r="P128" s="51"/>
      <c r="S128" s="51"/>
    </row>
    <row r="129" spans="1:19" hidden="1">
      <c r="A129" s="133">
        <v>45242356829</v>
      </c>
      <c r="B129" s="51" t="s">
        <v>666</v>
      </c>
      <c r="C129" s="126" t="s">
        <v>667</v>
      </c>
      <c r="D129" s="51" t="s">
        <v>668</v>
      </c>
      <c r="E129" s="51" t="s">
        <v>548</v>
      </c>
      <c r="F129" s="51" t="s">
        <v>172</v>
      </c>
      <c r="G129" s="127">
        <f>(ProductMaster_iPST_iPower[[#This Row],[SellPrice (Inc. VAT)]]*100)/107</f>
        <v>568.22429906542061</v>
      </c>
      <c r="H129" s="128">
        <v>608</v>
      </c>
      <c r="I129" s="134" t="s">
        <v>669</v>
      </c>
      <c r="J129" s="51"/>
      <c r="K129" s="51"/>
      <c r="L129" s="132"/>
      <c r="M129" s="51"/>
      <c r="N129" s="51"/>
      <c r="O129" s="51"/>
      <c r="P129" s="51"/>
      <c r="S129" s="51"/>
    </row>
    <row r="130" spans="1:19" hidden="1">
      <c r="A130" s="133">
        <v>45242342242</v>
      </c>
      <c r="B130" s="51" t="s">
        <v>670</v>
      </c>
      <c r="C130" s="126" t="s">
        <v>671</v>
      </c>
      <c r="D130" s="51" t="s">
        <v>672</v>
      </c>
      <c r="E130" s="51" t="s">
        <v>548</v>
      </c>
      <c r="F130" s="51" t="s">
        <v>172</v>
      </c>
      <c r="G130" s="127">
        <f>(ProductMaster_iPST_iPower[[#This Row],[SellPrice (Inc. VAT)]]*100)/107</f>
        <v>829.90654205607473</v>
      </c>
      <c r="H130" s="128">
        <v>888</v>
      </c>
      <c r="I130" s="134" t="s">
        <v>673</v>
      </c>
      <c r="J130" s="51"/>
      <c r="K130" s="51"/>
      <c r="L130" s="132"/>
      <c r="M130" s="51"/>
      <c r="N130" s="51"/>
      <c r="O130" s="51"/>
      <c r="P130" s="51"/>
      <c r="S130" s="51"/>
    </row>
    <row r="131" spans="1:19" hidden="1">
      <c r="A131" s="133">
        <v>45242342280</v>
      </c>
      <c r="B131" s="51" t="s">
        <v>674</v>
      </c>
      <c r="C131" s="126" t="s">
        <v>675</v>
      </c>
      <c r="D131" s="51" t="s">
        <v>672</v>
      </c>
      <c r="E131" s="51" t="s">
        <v>548</v>
      </c>
      <c r="F131" s="51" t="s">
        <v>172</v>
      </c>
      <c r="G131" s="127">
        <f>(ProductMaster_iPST_iPower[[#This Row],[SellPrice (Inc. VAT)]]*100)/107</f>
        <v>661.68224299065423</v>
      </c>
      <c r="H131" s="128">
        <v>708</v>
      </c>
      <c r="I131" s="134" t="s">
        <v>676</v>
      </c>
      <c r="J131" s="51"/>
      <c r="K131" s="51"/>
      <c r="L131" s="132"/>
      <c r="M131" s="51"/>
      <c r="N131" s="51"/>
      <c r="O131" s="51"/>
      <c r="P131" s="51"/>
      <c r="S131" s="51"/>
    </row>
    <row r="132" spans="1:19" hidden="1">
      <c r="A132" s="133">
        <v>45242738038</v>
      </c>
      <c r="B132" s="51" t="s">
        <v>677</v>
      </c>
      <c r="C132" s="126" t="s">
        <v>678</v>
      </c>
      <c r="D132" s="51" t="s">
        <v>679</v>
      </c>
      <c r="E132" s="51" t="s">
        <v>548</v>
      </c>
      <c r="F132" s="51" t="s">
        <v>172</v>
      </c>
      <c r="G132" s="127">
        <f>(ProductMaster_iPST_iPower[[#This Row],[SellPrice (Inc. VAT)]]*100)/107</f>
        <v>923.36448598130846</v>
      </c>
      <c r="H132" s="128">
        <v>988</v>
      </c>
      <c r="I132" s="134" t="s">
        <v>680</v>
      </c>
      <c r="J132" s="51"/>
      <c r="K132" s="51"/>
      <c r="L132" s="132"/>
      <c r="M132" s="51"/>
      <c r="N132" s="51"/>
      <c r="O132" s="51"/>
      <c r="P132" s="51"/>
      <c r="S132" s="51"/>
    </row>
    <row r="133" spans="1:19" hidden="1">
      <c r="A133" s="133">
        <v>45242738045</v>
      </c>
      <c r="B133" s="51" t="s">
        <v>681</v>
      </c>
      <c r="C133" s="126" t="s">
        <v>682</v>
      </c>
      <c r="D133" s="51" t="s">
        <v>683</v>
      </c>
      <c r="E133" s="51" t="s">
        <v>548</v>
      </c>
      <c r="F133" s="51" t="s">
        <v>172</v>
      </c>
      <c r="G133" s="127">
        <f>(ProductMaster_iPST_iPower[[#This Row],[SellPrice (Inc. VAT)]]*100)/107</f>
        <v>923.36448598130846</v>
      </c>
      <c r="H133" s="128">
        <v>988</v>
      </c>
      <c r="I133" s="134" t="s">
        <v>684</v>
      </c>
      <c r="J133" s="51"/>
      <c r="K133" s="51"/>
      <c r="L133" s="132"/>
      <c r="M133" s="51"/>
      <c r="N133" s="51"/>
      <c r="O133" s="51"/>
      <c r="P133" s="51"/>
      <c r="S133" s="51"/>
    </row>
    <row r="134" spans="1:19" hidden="1">
      <c r="A134" s="133">
        <v>45242738052</v>
      </c>
      <c r="B134" s="51" t="s">
        <v>685</v>
      </c>
      <c r="C134" s="126" t="s">
        <v>686</v>
      </c>
      <c r="D134" s="51" t="s">
        <v>687</v>
      </c>
      <c r="E134" s="51" t="s">
        <v>548</v>
      </c>
      <c r="F134" s="51" t="s">
        <v>172</v>
      </c>
      <c r="G134" s="127">
        <f>(ProductMaster_iPST_iPower[[#This Row],[SellPrice (Inc. VAT)]]*100)/107</f>
        <v>923.36448598130846</v>
      </c>
      <c r="H134" s="128">
        <v>988</v>
      </c>
      <c r="I134" s="134" t="s">
        <v>688</v>
      </c>
      <c r="J134" s="51"/>
      <c r="K134" s="51"/>
      <c r="L134" s="132"/>
      <c r="M134" s="51"/>
      <c r="N134" s="51"/>
      <c r="O134" s="51"/>
      <c r="P134" s="51"/>
      <c r="S134" s="51"/>
    </row>
    <row r="135" spans="1:19" hidden="1">
      <c r="A135" s="133">
        <v>45242738069</v>
      </c>
      <c r="B135" s="51" t="s">
        <v>689</v>
      </c>
      <c r="C135" s="126" t="s">
        <v>690</v>
      </c>
      <c r="D135" s="51" t="s">
        <v>691</v>
      </c>
      <c r="E135" s="51" t="s">
        <v>548</v>
      </c>
      <c r="F135" s="51" t="s">
        <v>172</v>
      </c>
      <c r="G135" s="127">
        <f>(ProductMaster_iPST_iPower[[#This Row],[SellPrice (Inc. VAT)]]*100)/107</f>
        <v>1016.8224299065421</v>
      </c>
      <c r="H135" s="128">
        <v>1088</v>
      </c>
      <c r="I135" s="134" t="s">
        <v>692</v>
      </c>
      <c r="J135" s="51"/>
      <c r="K135" s="51"/>
      <c r="L135" s="132"/>
      <c r="M135" s="51"/>
      <c r="N135" s="51"/>
      <c r="O135" s="51"/>
      <c r="P135" s="51"/>
      <c r="S135" s="51"/>
    </row>
    <row r="136" spans="1:19" hidden="1">
      <c r="A136" s="133">
        <v>45242738076</v>
      </c>
      <c r="B136" s="51" t="s">
        <v>693</v>
      </c>
      <c r="C136" s="126" t="s">
        <v>694</v>
      </c>
      <c r="D136" s="51" t="s">
        <v>695</v>
      </c>
      <c r="E136" s="51" t="s">
        <v>548</v>
      </c>
      <c r="F136" s="51" t="s">
        <v>172</v>
      </c>
      <c r="G136" s="127">
        <f>(ProductMaster_iPST_iPower[[#This Row],[SellPrice (Inc. VAT)]]*100)/107</f>
        <v>1016.8224299065421</v>
      </c>
      <c r="H136" s="128">
        <v>1088</v>
      </c>
      <c r="I136" s="134" t="s">
        <v>696</v>
      </c>
      <c r="J136" s="51"/>
      <c r="K136" s="51"/>
      <c r="L136" s="132"/>
      <c r="M136" s="51"/>
      <c r="N136" s="51"/>
      <c r="O136" s="51"/>
      <c r="P136" s="51"/>
      <c r="S136" s="51"/>
    </row>
    <row r="137" spans="1:19" hidden="1">
      <c r="A137" s="133">
        <v>45242738083</v>
      </c>
      <c r="B137" s="51" t="s">
        <v>697</v>
      </c>
      <c r="C137" s="126" t="s">
        <v>698</v>
      </c>
      <c r="D137" s="51" t="s">
        <v>699</v>
      </c>
      <c r="E137" s="51" t="s">
        <v>548</v>
      </c>
      <c r="F137" s="51" t="s">
        <v>172</v>
      </c>
      <c r="G137" s="127">
        <f>(ProductMaster_iPST_iPower[[#This Row],[SellPrice (Inc. VAT)]]*100)/107</f>
        <v>1016.8224299065421</v>
      </c>
      <c r="H137" s="128">
        <v>1088</v>
      </c>
      <c r="I137" s="134" t="s">
        <v>700</v>
      </c>
      <c r="J137" s="51"/>
      <c r="K137" s="51"/>
      <c r="L137" s="132"/>
      <c r="M137" s="51"/>
      <c r="N137" s="51"/>
      <c r="O137" s="51"/>
      <c r="P137" s="51"/>
      <c r="S137" s="51"/>
    </row>
    <row r="138" spans="1:19" hidden="1">
      <c r="A138" s="133">
        <v>45242356218</v>
      </c>
      <c r="B138" s="51" t="s">
        <v>701</v>
      </c>
      <c r="C138" s="126" t="s">
        <v>702</v>
      </c>
      <c r="D138" s="51" t="s">
        <v>703</v>
      </c>
      <c r="E138" s="51" t="s">
        <v>548</v>
      </c>
      <c r="F138" s="51" t="s">
        <v>172</v>
      </c>
      <c r="G138" s="127">
        <f>(ProductMaster_iPST_iPower[[#This Row],[SellPrice (Inc. VAT)]]*100)/107</f>
        <v>661.68224299065423</v>
      </c>
      <c r="H138" s="128">
        <v>708</v>
      </c>
      <c r="I138" s="134" t="s">
        <v>704</v>
      </c>
      <c r="J138" s="51"/>
      <c r="K138" s="51"/>
      <c r="L138" s="132"/>
      <c r="M138" s="51"/>
      <c r="N138" s="51"/>
      <c r="O138" s="51"/>
      <c r="P138" s="51"/>
      <c r="S138" s="51"/>
    </row>
    <row r="139" spans="1:19" hidden="1">
      <c r="A139" s="133">
        <v>45242502684</v>
      </c>
      <c r="B139" s="51" t="s">
        <v>705</v>
      </c>
      <c r="C139" s="126" t="s">
        <v>706</v>
      </c>
      <c r="D139" s="51" t="s">
        <v>707</v>
      </c>
      <c r="E139" s="51" t="s">
        <v>548</v>
      </c>
      <c r="F139" s="51" t="s">
        <v>172</v>
      </c>
      <c r="G139" s="127">
        <f>(ProductMaster_iPST_iPower[[#This Row],[SellPrice (Inc. VAT)]]*100)/107</f>
        <v>222.42990654205607</v>
      </c>
      <c r="H139" s="128">
        <v>238</v>
      </c>
      <c r="I139" s="134" t="s">
        <v>708</v>
      </c>
      <c r="J139" s="51"/>
      <c r="K139" s="51"/>
      <c r="L139" s="132"/>
      <c r="M139" s="51"/>
      <c r="N139" s="51"/>
      <c r="O139" s="51"/>
      <c r="P139" s="51"/>
      <c r="S139" s="51"/>
    </row>
    <row r="140" spans="1:19" hidden="1">
      <c r="A140" s="133">
        <v>45242502691</v>
      </c>
      <c r="B140" s="51" t="s">
        <v>709</v>
      </c>
      <c r="C140" s="126" t="s">
        <v>710</v>
      </c>
      <c r="D140" s="51" t="s">
        <v>711</v>
      </c>
      <c r="E140" s="51" t="s">
        <v>548</v>
      </c>
      <c r="F140" s="51" t="s">
        <v>172</v>
      </c>
      <c r="G140" s="127">
        <f>(ProductMaster_iPST_iPower[[#This Row],[SellPrice (Inc. VAT)]]*100)/107</f>
        <v>287.85046728971963</v>
      </c>
      <c r="H140" s="128">
        <v>308</v>
      </c>
      <c r="I140" s="134" t="s">
        <v>712</v>
      </c>
      <c r="J140" s="51"/>
      <c r="K140" s="51"/>
      <c r="L140" s="132"/>
      <c r="M140" s="51"/>
      <c r="N140" s="51"/>
      <c r="O140" s="51"/>
      <c r="P140" s="51"/>
      <c r="S140" s="51"/>
    </row>
    <row r="141" spans="1:19" hidden="1">
      <c r="A141" s="133">
        <v>45242502707</v>
      </c>
      <c r="B141" s="51" t="s">
        <v>713</v>
      </c>
      <c r="C141" s="126" t="s">
        <v>714</v>
      </c>
      <c r="D141" s="51" t="s">
        <v>715</v>
      </c>
      <c r="E141" s="51" t="s">
        <v>548</v>
      </c>
      <c r="F141" s="51" t="s">
        <v>172</v>
      </c>
      <c r="G141" s="127">
        <f>(ProductMaster_iPST_iPower[[#This Row],[SellPrice (Inc. VAT)]]*100)/107</f>
        <v>353.27102803738319</v>
      </c>
      <c r="H141" s="128">
        <v>378</v>
      </c>
      <c r="I141" s="134" t="s">
        <v>716</v>
      </c>
      <c r="J141" s="51"/>
      <c r="K141" s="51"/>
      <c r="L141" s="132"/>
      <c r="M141" s="51"/>
      <c r="N141" s="51"/>
      <c r="O141" s="51"/>
      <c r="P141" s="51"/>
      <c r="S141" s="51"/>
    </row>
    <row r="142" spans="1:19" hidden="1">
      <c r="A142" s="133">
        <v>45242617890</v>
      </c>
      <c r="B142" s="51" t="s">
        <v>717</v>
      </c>
      <c r="C142" s="126" t="s">
        <v>718</v>
      </c>
      <c r="D142" s="51" t="s">
        <v>719</v>
      </c>
      <c r="E142" s="51" t="s">
        <v>720</v>
      </c>
      <c r="F142" s="51" t="s">
        <v>172</v>
      </c>
      <c r="G142" s="127">
        <f>(ProductMaster_iPST_iPower[[#This Row],[SellPrice (Inc. VAT)]]*100)/107</f>
        <v>1951.4018691588785</v>
      </c>
      <c r="H142" s="128">
        <v>2088</v>
      </c>
      <c r="I142" s="134" t="s">
        <v>721</v>
      </c>
      <c r="J142" s="51"/>
      <c r="K142" s="51"/>
      <c r="L142" s="132"/>
      <c r="M142" s="51"/>
      <c r="N142" s="51"/>
      <c r="O142" s="51"/>
      <c r="P142" s="51"/>
      <c r="S142" s="51"/>
    </row>
    <row r="143" spans="1:19" hidden="1">
      <c r="A143" s="133">
        <v>45242531684</v>
      </c>
      <c r="B143" s="51" t="s">
        <v>722</v>
      </c>
      <c r="C143" s="126" t="s">
        <v>723</v>
      </c>
      <c r="D143" s="51" t="s">
        <v>724</v>
      </c>
      <c r="E143" s="51" t="s">
        <v>720</v>
      </c>
      <c r="F143" s="51" t="s">
        <v>172</v>
      </c>
      <c r="G143" s="127">
        <f>(ProductMaster_iPST_iPower[[#This Row],[SellPrice (Inc. VAT)]]*100)/107</f>
        <v>4287.8504672897197</v>
      </c>
      <c r="H143" s="128">
        <v>4588</v>
      </c>
      <c r="I143" s="134" t="s">
        <v>725</v>
      </c>
      <c r="J143" s="51"/>
      <c r="K143" s="51"/>
      <c r="L143" s="132"/>
      <c r="M143" s="51"/>
      <c r="N143" s="51"/>
      <c r="O143" s="51"/>
      <c r="P143" s="51"/>
      <c r="S143" s="51"/>
    </row>
    <row r="144" spans="1:19" hidden="1">
      <c r="A144" s="133">
        <v>45242618026</v>
      </c>
      <c r="B144" s="51" t="s">
        <v>726</v>
      </c>
      <c r="C144" s="126" t="s">
        <v>727</v>
      </c>
      <c r="D144" s="51" t="s">
        <v>728</v>
      </c>
      <c r="E144" s="51" t="s">
        <v>548</v>
      </c>
      <c r="F144" s="51" t="s">
        <v>172</v>
      </c>
      <c r="G144" s="127">
        <f>(ProductMaster_iPST_iPower[[#This Row],[SellPrice (Inc. VAT)]]*100)/107</f>
        <v>549.53271028037386</v>
      </c>
      <c r="H144" s="128">
        <v>588</v>
      </c>
      <c r="I144" s="134" t="s">
        <v>729</v>
      </c>
      <c r="J144" s="51"/>
      <c r="K144" s="51"/>
      <c r="L144" s="132"/>
      <c r="M144" s="51"/>
      <c r="N144" s="51"/>
      <c r="O144" s="51"/>
      <c r="P144" s="51"/>
      <c r="S144" s="51"/>
    </row>
    <row r="145" spans="1:19" hidden="1">
      <c r="A145" s="133">
        <v>45242616329</v>
      </c>
      <c r="B145" s="51" t="s">
        <v>730</v>
      </c>
      <c r="C145" s="126" t="s">
        <v>731</v>
      </c>
      <c r="D145" s="51" t="s">
        <v>732</v>
      </c>
      <c r="E145" s="51" t="s">
        <v>720</v>
      </c>
      <c r="F145" s="51" t="s">
        <v>172</v>
      </c>
      <c r="G145" s="127">
        <f>(ProductMaster_iPST_iPower[[#This Row],[SellPrice (Inc. VAT)]]*100)/107</f>
        <v>1110.2803738317757</v>
      </c>
      <c r="H145" s="128">
        <v>1188</v>
      </c>
      <c r="I145" s="134" t="s">
        <v>733</v>
      </c>
      <c r="J145" s="51"/>
      <c r="K145" s="51"/>
      <c r="L145" s="132"/>
      <c r="M145" s="51"/>
      <c r="N145" s="51"/>
      <c r="O145" s="51"/>
      <c r="P145" s="51"/>
      <c r="S145" s="51"/>
    </row>
    <row r="146" spans="1:19" hidden="1">
      <c r="A146" s="133">
        <v>45242524082</v>
      </c>
      <c r="B146" s="51" t="s">
        <v>734</v>
      </c>
      <c r="C146" s="126" t="s">
        <v>735</v>
      </c>
      <c r="D146" s="51" t="s">
        <v>736</v>
      </c>
      <c r="E146" s="51" t="s">
        <v>720</v>
      </c>
      <c r="F146" s="51" t="s">
        <v>172</v>
      </c>
      <c r="G146" s="127">
        <f>(ProductMaster_iPST_iPower[[#This Row],[SellPrice (Inc. VAT)]]*100)/107</f>
        <v>4848.5981308411219</v>
      </c>
      <c r="H146" s="128">
        <v>5188</v>
      </c>
      <c r="I146" s="134" t="s">
        <v>737</v>
      </c>
      <c r="J146" s="51"/>
      <c r="K146" s="51"/>
      <c r="L146" s="132"/>
      <c r="M146" s="51"/>
      <c r="N146" s="51"/>
      <c r="O146" s="51"/>
      <c r="P146" s="51"/>
      <c r="S146" s="51"/>
    </row>
    <row r="147" spans="1:19" hidden="1">
      <c r="A147" s="133">
        <v>45242543847</v>
      </c>
      <c r="B147" s="51" t="s">
        <v>738</v>
      </c>
      <c r="C147" s="126" t="s">
        <v>739</v>
      </c>
      <c r="D147" s="51" t="s">
        <v>740</v>
      </c>
      <c r="E147" s="51" t="s">
        <v>720</v>
      </c>
      <c r="F147" s="51" t="s">
        <v>172</v>
      </c>
      <c r="G147" s="127">
        <f>(ProductMaster_iPST_iPower[[#This Row],[SellPrice (Inc. VAT)]]*100)/107</f>
        <v>3540.1869158878503</v>
      </c>
      <c r="H147" s="128">
        <v>3788</v>
      </c>
      <c r="I147" s="134" t="s">
        <v>741</v>
      </c>
      <c r="J147" s="51"/>
      <c r="K147" s="51"/>
      <c r="L147" s="132"/>
      <c r="M147" s="51"/>
      <c r="N147" s="51"/>
      <c r="O147" s="51"/>
      <c r="P147" s="51"/>
      <c r="S147" s="51"/>
    </row>
    <row r="148" spans="1:19" hidden="1">
      <c r="A148" s="133">
        <v>45242505333</v>
      </c>
      <c r="B148" s="51" t="s">
        <v>742</v>
      </c>
      <c r="C148" s="126" t="s">
        <v>743</v>
      </c>
      <c r="D148" s="51" t="s">
        <v>744</v>
      </c>
      <c r="E148" s="51" t="s">
        <v>720</v>
      </c>
      <c r="F148" s="51" t="s">
        <v>172</v>
      </c>
      <c r="G148" s="127">
        <f>(ProductMaster_iPST_iPower[[#This Row],[SellPrice (Inc. VAT)]]*100)/107</f>
        <v>3166.3551401869158</v>
      </c>
      <c r="H148" s="128">
        <v>3388</v>
      </c>
      <c r="I148" s="134" t="s">
        <v>745</v>
      </c>
      <c r="J148" s="51"/>
      <c r="K148" s="51"/>
      <c r="L148" s="132"/>
      <c r="M148" s="51"/>
      <c r="N148" s="51"/>
      <c r="O148" s="51"/>
      <c r="P148" s="51"/>
      <c r="S148" s="51"/>
    </row>
    <row r="149" spans="1:19" hidden="1">
      <c r="A149" s="133">
        <v>45242505340</v>
      </c>
      <c r="B149" s="51" t="s">
        <v>746</v>
      </c>
      <c r="C149" s="126" t="s">
        <v>747</v>
      </c>
      <c r="D149" s="51" t="s">
        <v>748</v>
      </c>
      <c r="E149" s="51" t="s">
        <v>720</v>
      </c>
      <c r="F149" s="51" t="s">
        <v>172</v>
      </c>
      <c r="G149" s="127">
        <f>(ProductMaster_iPST_iPower[[#This Row],[SellPrice (Inc. VAT)]]*100)/107</f>
        <v>4100.934579439252</v>
      </c>
      <c r="H149" s="128">
        <v>4388</v>
      </c>
      <c r="I149" s="134" t="s">
        <v>749</v>
      </c>
      <c r="J149" s="51"/>
      <c r="K149" s="51"/>
      <c r="L149" s="132"/>
      <c r="M149" s="51"/>
      <c r="N149" s="51"/>
      <c r="O149" s="51"/>
      <c r="P149" s="51"/>
      <c r="S149" s="51"/>
    </row>
    <row r="150" spans="1:19" hidden="1">
      <c r="A150" s="133">
        <v>45242505357</v>
      </c>
      <c r="B150" s="51" t="s">
        <v>750</v>
      </c>
      <c r="C150" s="126" t="s">
        <v>751</v>
      </c>
      <c r="D150" s="51" t="s">
        <v>752</v>
      </c>
      <c r="E150" s="51" t="s">
        <v>720</v>
      </c>
      <c r="F150" s="51" t="s">
        <v>172</v>
      </c>
      <c r="G150" s="127">
        <f>(ProductMaster_iPST_iPower[[#This Row],[SellPrice (Inc. VAT)]]*100)/107</f>
        <v>6717.7570093457944</v>
      </c>
      <c r="H150" s="128">
        <v>7188</v>
      </c>
      <c r="I150" s="134" t="s">
        <v>753</v>
      </c>
      <c r="J150" s="51"/>
      <c r="K150" s="51"/>
      <c r="L150" s="132"/>
      <c r="M150" s="51"/>
      <c r="N150" s="51"/>
      <c r="O150" s="51"/>
      <c r="P150" s="51"/>
      <c r="S150" s="51"/>
    </row>
    <row r="151" spans="1:19" hidden="1">
      <c r="A151" s="133">
        <v>45242600687</v>
      </c>
      <c r="B151" s="51" t="s">
        <v>754</v>
      </c>
      <c r="C151" s="126" t="s">
        <v>755</v>
      </c>
      <c r="D151" s="51" t="s">
        <v>756</v>
      </c>
      <c r="E151" s="51" t="s">
        <v>720</v>
      </c>
      <c r="F151" s="51" t="s">
        <v>172</v>
      </c>
      <c r="G151" s="127">
        <f>(ProductMaster_iPST_iPower[[#This Row],[SellPrice (Inc. VAT)]]*100)/107</f>
        <v>4848.5981308411219</v>
      </c>
      <c r="H151" s="128">
        <v>5188</v>
      </c>
      <c r="I151" s="134" t="s">
        <v>757</v>
      </c>
      <c r="J151" s="51"/>
      <c r="K151" s="51"/>
      <c r="L151" s="132"/>
      <c r="M151" s="51"/>
      <c r="N151" s="51"/>
      <c r="O151" s="51"/>
      <c r="P151" s="51"/>
      <c r="S151" s="51"/>
    </row>
    <row r="152" spans="1:19" hidden="1">
      <c r="A152" s="133">
        <v>45242505319</v>
      </c>
      <c r="B152" s="51" t="s">
        <v>758</v>
      </c>
      <c r="C152" s="126" t="s">
        <v>759</v>
      </c>
      <c r="D152" s="51" t="s">
        <v>760</v>
      </c>
      <c r="E152" s="51" t="s">
        <v>720</v>
      </c>
      <c r="F152" s="51" t="s">
        <v>172</v>
      </c>
      <c r="G152" s="127">
        <f>(ProductMaster_iPST_iPower[[#This Row],[SellPrice (Inc. VAT)]]*100)/107</f>
        <v>2512.1495327102803</v>
      </c>
      <c r="H152" s="128">
        <v>2688</v>
      </c>
      <c r="I152" s="134" t="s">
        <v>761</v>
      </c>
      <c r="J152" s="51"/>
      <c r="K152" s="51"/>
      <c r="L152" s="132"/>
      <c r="M152" s="51"/>
      <c r="N152" s="51"/>
      <c r="O152" s="51"/>
      <c r="P152" s="51"/>
      <c r="S152" s="51"/>
    </row>
    <row r="153" spans="1:19" hidden="1">
      <c r="A153" s="133">
        <v>45242516728</v>
      </c>
      <c r="B153" s="51" t="s">
        <v>762</v>
      </c>
      <c r="C153" s="126" t="s">
        <v>763</v>
      </c>
      <c r="D153" s="51" t="s">
        <v>764</v>
      </c>
      <c r="E153" s="51" t="s">
        <v>720</v>
      </c>
      <c r="F153" s="51" t="s">
        <v>172</v>
      </c>
      <c r="G153" s="127">
        <f>(ProductMaster_iPST_iPower[[#This Row],[SellPrice (Inc. VAT)]]*100)/107</f>
        <v>2418.6915887850469</v>
      </c>
      <c r="H153" s="128">
        <v>2588</v>
      </c>
      <c r="I153" s="134" t="s">
        <v>765</v>
      </c>
      <c r="J153" s="51"/>
      <c r="K153" s="51"/>
      <c r="L153" s="132"/>
      <c r="M153" s="51"/>
      <c r="N153" s="51"/>
      <c r="O153" s="51"/>
      <c r="P153" s="51"/>
      <c r="S153" s="51"/>
    </row>
    <row r="154" spans="1:19" hidden="1">
      <c r="A154" s="133">
        <v>45242600694</v>
      </c>
      <c r="B154" s="51" t="s">
        <v>766</v>
      </c>
      <c r="C154" s="126" t="s">
        <v>767</v>
      </c>
      <c r="D154" s="51" t="s">
        <v>768</v>
      </c>
      <c r="E154" s="51" t="s">
        <v>720</v>
      </c>
      <c r="F154" s="51" t="s">
        <v>172</v>
      </c>
      <c r="G154" s="127">
        <f>(ProductMaster_iPST_iPower[[#This Row],[SellPrice (Inc. VAT)]]*100)/107</f>
        <v>3353.2710280373831</v>
      </c>
      <c r="H154" s="128">
        <v>3588</v>
      </c>
      <c r="I154" s="134" t="s">
        <v>769</v>
      </c>
      <c r="J154" s="51"/>
      <c r="K154" s="51"/>
      <c r="L154" s="132"/>
      <c r="M154" s="51"/>
      <c r="N154" s="51"/>
      <c r="O154" s="51"/>
      <c r="P154" s="51"/>
      <c r="S154" s="51"/>
    </row>
    <row r="155" spans="1:19" hidden="1">
      <c r="A155" s="133">
        <v>45242505326</v>
      </c>
      <c r="B155" s="51" t="s">
        <v>770</v>
      </c>
      <c r="C155" s="126" t="s">
        <v>771</v>
      </c>
      <c r="D155" s="51" t="s">
        <v>772</v>
      </c>
      <c r="E155" s="51" t="s">
        <v>720</v>
      </c>
      <c r="F155" s="51" t="s">
        <v>172</v>
      </c>
      <c r="G155" s="127">
        <f>(ProductMaster_iPST_iPower[[#This Row],[SellPrice (Inc. VAT)]]*100)/107</f>
        <v>1297.1962616822429</v>
      </c>
      <c r="H155" s="128">
        <v>1388</v>
      </c>
      <c r="I155" s="134" t="s">
        <v>773</v>
      </c>
      <c r="J155" s="51"/>
      <c r="K155" s="51"/>
      <c r="L155" s="132"/>
      <c r="M155" s="51"/>
      <c r="N155" s="51"/>
      <c r="O155" s="51"/>
      <c r="P155" s="51"/>
      <c r="S155" s="51"/>
    </row>
    <row r="156" spans="1:19" hidden="1">
      <c r="A156" s="133">
        <v>45242524211</v>
      </c>
      <c r="B156" s="51" t="s">
        <v>774</v>
      </c>
      <c r="C156" s="126" t="s">
        <v>775</v>
      </c>
      <c r="D156" s="51" t="s">
        <v>776</v>
      </c>
      <c r="E156" s="51" t="s">
        <v>720</v>
      </c>
      <c r="F156" s="51" t="s">
        <v>172</v>
      </c>
      <c r="G156" s="127">
        <f>(ProductMaster_iPST_iPower[[#This Row],[SellPrice (Inc. VAT)]]*100)/107</f>
        <v>1203.7383177570093</v>
      </c>
      <c r="H156" s="128">
        <v>1288</v>
      </c>
      <c r="I156" s="134" t="s">
        <v>777</v>
      </c>
      <c r="J156" s="51"/>
      <c r="K156" s="51"/>
      <c r="L156" s="132"/>
      <c r="M156" s="51"/>
      <c r="N156" s="51"/>
      <c r="O156" s="51"/>
      <c r="P156" s="51"/>
      <c r="S156" s="51"/>
    </row>
    <row r="157" spans="1:19" hidden="1">
      <c r="A157" s="133">
        <v>45242559541</v>
      </c>
      <c r="B157" s="51" t="s">
        <v>778</v>
      </c>
      <c r="C157" s="126" t="s">
        <v>779</v>
      </c>
      <c r="D157" s="51" t="s">
        <v>780</v>
      </c>
      <c r="E157" s="51" t="s">
        <v>720</v>
      </c>
      <c r="F157" s="51" t="s">
        <v>172</v>
      </c>
      <c r="G157" s="127">
        <f>(ProductMaster_iPST_iPower[[#This Row],[SellPrice (Inc. VAT)]]*100)/107</f>
        <v>6998.130841121495</v>
      </c>
      <c r="H157" s="128">
        <v>7488</v>
      </c>
      <c r="I157" s="134" t="s">
        <v>781</v>
      </c>
      <c r="J157" s="51"/>
      <c r="K157" s="51"/>
      <c r="L157" s="132"/>
      <c r="M157" s="51"/>
      <c r="N157" s="51"/>
      <c r="O157" s="51"/>
      <c r="P157" s="51"/>
      <c r="S157" s="51"/>
    </row>
    <row r="158" spans="1:19" hidden="1">
      <c r="A158" s="133">
        <v>45242559558</v>
      </c>
      <c r="B158" s="51" t="s">
        <v>782</v>
      </c>
      <c r="C158" s="126" t="s">
        <v>783</v>
      </c>
      <c r="D158" s="51" t="s">
        <v>784</v>
      </c>
      <c r="E158" s="51" t="s">
        <v>720</v>
      </c>
      <c r="F158" s="51" t="s">
        <v>172</v>
      </c>
      <c r="G158" s="127">
        <f>(ProductMaster_iPST_iPower[[#This Row],[SellPrice (Inc. VAT)]]*100)/107</f>
        <v>7839.2523364485978</v>
      </c>
      <c r="H158" s="128">
        <v>8388</v>
      </c>
      <c r="I158" s="134" t="s">
        <v>785</v>
      </c>
      <c r="J158" s="51"/>
      <c r="K158" s="51"/>
      <c r="L158" s="132"/>
      <c r="M158" s="51"/>
      <c r="N158" s="51"/>
      <c r="O158" s="51"/>
      <c r="P158" s="51"/>
      <c r="S158" s="51"/>
    </row>
    <row r="159" spans="1:19" hidden="1">
      <c r="A159" s="133">
        <v>45242617593</v>
      </c>
      <c r="B159" s="51" t="s">
        <v>786</v>
      </c>
      <c r="C159" s="126" t="s">
        <v>787</v>
      </c>
      <c r="D159" s="51" t="s">
        <v>788</v>
      </c>
      <c r="E159" s="51" t="s">
        <v>720</v>
      </c>
      <c r="F159" s="51" t="s">
        <v>172</v>
      </c>
      <c r="G159" s="127">
        <f>(ProductMaster_iPST_iPower[[#This Row],[SellPrice (Inc. VAT)]]*100)/107</f>
        <v>7278.5046728971965</v>
      </c>
      <c r="H159" s="128">
        <v>7788</v>
      </c>
      <c r="I159" s="134" t="s">
        <v>789</v>
      </c>
      <c r="J159" s="51"/>
      <c r="K159" s="51"/>
      <c r="L159" s="132"/>
      <c r="M159" s="51"/>
      <c r="N159" s="51"/>
      <c r="O159" s="51"/>
      <c r="P159" s="51"/>
      <c r="S159" s="51"/>
    </row>
    <row r="160" spans="1:19" hidden="1">
      <c r="A160" s="133">
        <v>45242524228</v>
      </c>
      <c r="B160" s="51" t="s">
        <v>790</v>
      </c>
      <c r="C160" s="126" t="s">
        <v>791</v>
      </c>
      <c r="D160" s="51" t="s">
        <v>792</v>
      </c>
      <c r="E160" s="51" t="s">
        <v>720</v>
      </c>
      <c r="F160" s="51" t="s">
        <v>172</v>
      </c>
      <c r="G160" s="127">
        <f>(ProductMaster_iPST_iPower[[#This Row],[SellPrice (Inc. VAT)]]*100)/107</f>
        <v>3166.3551401869158</v>
      </c>
      <c r="H160" s="128">
        <v>3388</v>
      </c>
      <c r="I160" s="134" t="s">
        <v>793</v>
      </c>
      <c r="J160" s="51"/>
      <c r="K160" s="51"/>
      <c r="L160" s="132"/>
      <c r="M160" s="51"/>
      <c r="N160" s="51"/>
      <c r="O160" s="51"/>
      <c r="P160" s="51"/>
      <c r="S160" s="51"/>
    </row>
    <row r="161" spans="1:19" hidden="1">
      <c r="A161" s="133">
        <v>45242543830</v>
      </c>
      <c r="B161" s="51" t="s">
        <v>794</v>
      </c>
      <c r="C161" s="126" t="s">
        <v>795</v>
      </c>
      <c r="D161" s="51" t="s">
        <v>796</v>
      </c>
      <c r="E161" s="51" t="s">
        <v>720</v>
      </c>
      <c r="F161" s="51" t="s">
        <v>172</v>
      </c>
      <c r="G161" s="127">
        <f>(ProductMaster_iPST_iPower[[#This Row],[SellPrice (Inc. VAT)]]*100)/107</f>
        <v>4287.8504672897197</v>
      </c>
      <c r="H161" s="128">
        <v>4588</v>
      </c>
      <c r="I161" s="134" t="s">
        <v>797</v>
      </c>
      <c r="J161" s="51"/>
      <c r="K161" s="51"/>
      <c r="L161" s="132"/>
      <c r="M161" s="51"/>
      <c r="N161" s="51"/>
      <c r="O161" s="51"/>
      <c r="P161" s="51"/>
      <c r="S161" s="51"/>
    </row>
    <row r="162" spans="1:19" hidden="1">
      <c r="A162" s="133">
        <v>45242617579</v>
      </c>
      <c r="B162" s="51" t="s">
        <v>798</v>
      </c>
      <c r="C162" s="126" t="s">
        <v>799</v>
      </c>
      <c r="D162" s="51" t="s">
        <v>800</v>
      </c>
      <c r="E162" s="51" t="s">
        <v>720</v>
      </c>
      <c r="F162" s="51" t="s">
        <v>172</v>
      </c>
      <c r="G162" s="127">
        <f>(ProductMaster_iPST_iPower[[#This Row],[SellPrice (Inc. VAT)]]*100)/107</f>
        <v>1016.8224299065421</v>
      </c>
      <c r="H162" s="128">
        <v>1088</v>
      </c>
      <c r="I162" s="134" t="s">
        <v>801</v>
      </c>
      <c r="J162" s="51"/>
      <c r="K162" s="51"/>
      <c r="L162" s="132"/>
      <c r="M162" s="51"/>
      <c r="N162" s="51"/>
      <c r="O162" s="51"/>
      <c r="P162" s="51"/>
      <c r="S162" s="51"/>
    </row>
    <row r="163" spans="1:19" hidden="1">
      <c r="A163" s="133">
        <v>45242617586</v>
      </c>
      <c r="B163" s="51" t="s">
        <v>802</v>
      </c>
      <c r="C163" s="126" t="s">
        <v>803</v>
      </c>
      <c r="D163" s="51" t="s">
        <v>804</v>
      </c>
      <c r="E163" s="51" t="s">
        <v>720</v>
      </c>
      <c r="F163" s="51" t="s">
        <v>172</v>
      </c>
      <c r="G163" s="127">
        <f>(ProductMaster_iPST_iPower[[#This Row],[SellPrice (Inc. VAT)]]*100)/107</f>
        <v>2138.3177570093458</v>
      </c>
      <c r="H163" s="128">
        <v>2288</v>
      </c>
      <c r="I163" s="134" t="s">
        <v>805</v>
      </c>
      <c r="J163" s="51"/>
      <c r="K163" s="51"/>
      <c r="L163" s="132"/>
      <c r="M163" s="51"/>
      <c r="N163" s="51"/>
      <c r="O163" s="51"/>
      <c r="P163" s="51"/>
      <c r="S163" s="51"/>
    </row>
    <row r="164" spans="1:19" hidden="1">
      <c r="A164" s="133">
        <v>45242571871</v>
      </c>
      <c r="B164" s="51" t="s">
        <v>806</v>
      </c>
      <c r="C164" s="126" t="s">
        <v>807</v>
      </c>
      <c r="D164" s="51" t="s">
        <v>808</v>
      </c>
      <c r="E164" s="51" t="s">
        <v>720</v>
      </c>
      <c r="F164" s="51" t="s">
        <v>172</v>
      </c>
      <c r="G164" s="127">
        <f>(ProductMaster_iPST_iPower[[#This Row],[SellPrice (Inc. VAT)]]*100)/107</f>
        <v>2979.4392523364486</v>
      </c>
      <c r="H164" s="128">
        <v>3188</v>
      </c>
      <c r="I164" s="134" t="s">
        <v>809</v>
      </c>
      <c r="J164" s="51"/>
      <c r="K164" s="51"/>
      <c r="L164" s="132"/>
      <c r="M164" s="51"/>
      <c r="N164" s="51"/>
      <c r="O164" s="51"/>
      <c r="P164" s="51"/>
      <c r="S164" s="51"/>
    </row>
    <row r="165" spans="1:19" hidden="1">
      <c r="A165" s="133">
        <v>45242501229</v>
      </c>
      <c r="B165" s="51" t="s">
        <v>810</v>
      </c>
      <c r="C165" s="126" t="s">
        <v>811</v>
      </c>
      <c r="D165" s="51" t="s">
        <v>812</v>
      </c>
      <c r="E165" s="51" t="s">
        <v>565</v>
      </c>
      <c r="F165" s="51" t="s">
        <v>172</v>
      </c>
      <c r="G165" s="127">
        <f>(ProductMaster_iPST_iPower[[#This Row],[SellPrice (Inc. VAT)]]*100)/107</f>
        <v>642.99065420560748</v>
      </c>
      <c r="H165" s="128">
        <v>688</v>
      </c>
      <c r="I165" s="134" t="s">
        <v>813</v>
      </c>
      <c r="J165" s="51"/>
      <c r="K165" s="51"/>
      <c r="L165" s="132"/>
      <c r="M165" s="51"/>
      <c r="N165" s="51"/>
      <c r="O165" s="51"/>
      <c r="P165" s="51"/>
      <c r="S165" s="51"/>
    </row>
    <row r="166" spans="1:19" hidden="1">
      <c r="A166" s="133">
        <v>45242479887</v>
      </c>
      <c r="B166" s="51" t="s">
        <v>814</v>
      </c>
      <c r="C166" s="126" t="s">
        <v>815</v>
      </c>
      <c r="D166" s="51" t="s">
        <v>816</v>
      </c>
      <c r="E166" s="51" t="s">
        <v>548</v>
      </c>
      <c r="F166" s="51" t="s">
        <v>172</v>
      </c>
      <c r="G166" s="127">
        <f>(ProductMaster_iPST_iPower[[#This Row],[SellPrice (Inc. VAT)]]*100)/107</f>
        <v>642.99065420560748</v>
      </c>
      <c r="H166" s="128">
        <v>688</v>
      </c>
      <c r="I166" s="134" t="s">
        <v>817</v>
      </c>
      <c r="J166" s="51"/>
      <c r="K166" s="51"/>
      <c r="L166" s="132"/>
      <c r="M166" s="51"/>
      <c r="N166" s="51"/>
      <c r="O166" s="51"/>
      <c r="P166" s="51"/>
      <c r="S166" s="51"/>
    </row>
    <row r="167" spans="1:19" hidden="1">
      <c r="A167" s="133">
        <v>45242469765</v>
      </c>
      <c r="B167" s="51" t="s">
        <v>818</v>
      </c>
      <c r="C167" s="126" t="s">
        <v>819</v>
      </c>
      <c r="D167" s="51" t="s">
        <v>820</v>
      </c>
      <c r="E167" s="51" t="s">
        <v>548</v>
      </c>
      <c r="F167" s="51" t="s">
        <v>172</v>
      </c>
      <c r="G167" s="127">
        <f>(ProductMaster_iPST_iPower[[#This Row],[SellPrice (Inc. VAT)]]*100)/107</f>
        <v>876.63551401869154</v>
      </c>
      <c r="H167" s="128">
        <v>938</v>
      </c>
      <c r="I167" s="134" t="s">
        <v>821</v>
      </c>
      <c r="J167" s="51"/>
      <c r="K167" s="51"/>
      <c r="L167" s="132"/>
      <c r="M167" s="51"/>
      <c r="N167" s="51"/>
      <c r="O167" s="51"/>
      <c r="P167" s="51"/>
      <c r="S167" s="51"/>
    </row>
    <row r="168" spans="1:19" hidden="1">
      <c r="A168" s="133">
        <v>45242366958</v>
      </c>
      <c r="B168" s="51" t="s">
        <v>822</v>
      </c>
      <c r="C168" s="126" t="s">
        <v>823</v>
      </c>
      <c r="D168" s="51" t="s">
        <v>824</v>
      </c>
      <c r="E168" s="51" t="s">
        <v>548</v>
      </c>
      <c r="F168" s="51" t="s">
        <v>172</v>
      </c>
      <c r="G168" s="127">
        <f>(ProductMaster_iPST_iPower[[#This Row],[SellPrice (Inc. VAT)]]*100)/107</f>
        <v>876.63551401869154</v>
      </c>
      <c r="H168" s="128">
        <v>938</v>
      </c>
      <c r="I168" s="134" t="s">
        <v>825</v>
      </c>
      <c r="J168" s="51"/>
      <c r="K168" s="51"/>
      <c r="L168" s="132"/>
      <c r="M168" s="51"/>
      <c r="N168" s="51"/>
      <c r="O168" s="51"/>
      <c r="P168" s="51"/>
      <c r="S168" s="51"/>
    </row>
    <row r="169" spans="1:19" hidden="1">
      <c r="A169" s="133">
        <v>4892210179142</v>
      </c>
      <c r="B169" s="51" t="s">
        <v>826</v>
      </c>
      <c r="C169" s="126" t="s">
        <v>827</v>
      </c>
      <c r="D169" s="51" t="s">
        <v>828</v>
      </c>
      <c r="E169" s="51" t="s">
        <v>548</v>
      </c>
      <c r="F169" s="51" t="s">
        <v>172</v>
      </c>
      <c r="G169" s="127">
        <f>(ProductMaster_iPST_iPower[[#This Row],[SellPrice (Inc. VAT)]]*100)/107</f>
        <v>736.44859813084111</v>
      </c>
      <c r="H169" s="128">
        <v>788</v>
      </c>
      <c r="I169" s="134" t="s">
        <v>829</v>
      </c>
      <c r="J169" s="51"/>
      <c r="K169" s="51"/>
      <c r="L169" s="132"/>
      <c r="M169" s="51"/>
      <c r="N169" s="51"/>
      <c r="O169" s="51"/>
      <c r="P169" s="51"/>
      <c r="S169" s="51"/>
    </row>
    <row r="170" spans="1:19" hidden="1">
      <c r="A170" s="133">
        <v>4892210179265</v>
      </c>
      <c r="B170" s="51" t="s">
        <v>830</v>
      </c>
      <c r="C170" s="126" t="s">
        <v>831</v>
      </c>
      <c r="D170" s="51" t="s">
        <v>832</v>
      </c>
      <c r="E170" s="51" t="s">
        <v>548</v>
      </c>
      <c r="F170" s="51" t="s">
        <v>172</v>
      </c>
      <c r="G170" s="127">
        <f>(ProductMaster_iPST_iPower[[#This Row],[SellPrice (Inc. VAT)]]*100)/107</f>
        <v>446.72897196261681</v>
      </c>
      <c r="H170" s="128">
        <v>478</v>
      </c>
      <c r="I170" s="134" t="s">
        <v>833</v>
      </c>
      <c r="J170" s="51"/>
      <c r="K170" s="51"/>
      <c r="L170" s="132"/>
      <c r="M170" s="51"/>
      <c r="N170" s="51"/>
      <c r="O170" s="51"/>
      <c r="P170" s="51"/>
      <c r="S170" s="51"/>
    </row>
    <row r="171" spans="1:19" hidden="1">
      <c r="A171" s="133">
        <v>45242509171</v>
      </c>
      <c r="B171" s="51" t="s">
        <v>834</v>
      </c>
      <c r="C171" s="126" t="s">
        <v>835</v>
      </c>
      <c r="D171" s="51" t="s">
        <v>836</v>
      </c>
      <c r="E171" s="51" t="s">
        <v>548</v>
      </c>
      <c r="F171" s="51" t="s">
        <v>172</v>
      </c>
      <c r="G171" s="127">
        <f>(ProductMaster_iPST_iPower[[#This Row],[SellPrice (Inc. VAT)]]*100)/107</f>
        <v>157.00934579439252</v>
      </c>
      <c r="H171" s="128">
        <v>168</v>
      </c>
      <c r="I171" s="134" t="s">
        <v>837</v>
      </c>
      <c r="J171" s="51"/>
      <c r="K171" s="51"/>
      <c r="L171" s="132"/>
      <c r="M171" s="51"/>
      <c r="N171" s="51"/>
      <c r="O171" s="51"/>
      <c r="P171" s="51"/>
      <c r="S171" s="51"/>
    </row>
    <row r="172" spans="1:19" hidden="1">
      <c r="A172" s="133">
        <v>45242509188</v>
      </c>
      <c r="B172" s="51" t="s">
        <v>838</v>
      </c>
      <c r="C172" s="126" t="s">
        <v>839</v>
      </c>
      <c r="D172" s="51" t="s">
        <v>840</v>
      </c>
      <c r="E172" s="51" t="s">
        <v>548</v>
      </c>
      <c r="F172" s="51" t="s">
        <v>172</v>
      </c>
      <c r="G172" s="127">
        <f>(ProductMaster_iPST_iPower[[#This Row],[SellPrice (Inc. VAT)]]*100)/107</f>
        <v>157.00934579439252</v>
      </c>
      <c r="H172" s="128">
        <v>168</v>
      </c>
      <c r="I172" s="134" t="s">
        <v>841</v>
      </c>
      <c r="J172" s="51"/>
      <c r="K172" s="51"/>
      <c r="L172" s="132"/>
      <c r="M172" s="51"/>
      <c r="N172" s="51"/>
      <c r="O172" s="51"/>
      <c r="P172" s="51"/>
      <c r="S172" s="51"/>
    </row>
    <row r="173" spans="1:19" hidden="1">
      <c r="A173" s="133">
        <v>45242509270</v>
      </c>
      <c r="B173" s="51" t="s">
        <v>842</v>
      </c>
      <c r="C173" s="126" t="s">
        <v>843</v>
      </c>
      <c r="D173" s="51" t="s">
        <v>844</v>
      </c>
      <c r="E173" s="51" t="s">
        <v>548</v>
      </c>
      <c r="F173" s="51" t="s">
        <v>172</v>
      </c>
      <c r="G173" s="127">
        <f>(ProductMaster_iPST_iPower[[#This Row],[SellPrice (Inc. VAT)]]*100)/107</f>
        <v>558.87850467289718</v>
      </c>
      <c r="H173" s="128">
        <v>598</v>
      </c>
      <c r="I173" s="134" t="s">
        <v>845</v>
      </c>
      <c r="J173" s="51"/>
      <c r="K173" s="51"/>
      <c r="L173" s="132"/>
      <c r="M173" s="51"/>
      <c r="N173" s="51"/>
      <c r="O173" s="51"/>
      <c r="P173" s="51"/>
      <c r="S173" s="51"/>
    </row>
    <row r="174" spans="1:19" hidden="1">
      <c r="A174" s="133">
        <v>45242509287</v>
      </c>
      <c r="B174" s="51" t="s">
        <v>846</v>
      </c>
      <c r="C174" s="126" t="s">
        <v>847</v>
      </c>
      <c r="D174" s="51" t="s">
        <v>848</v>
      </c>
      <c r="E174" s="51" t="s">
        <v>548</v>
      </c>
      <c r="F174" s="51" t="s">
        <v>172</v>
      </c>
      <c r="G174" s="127">
        <f>(ProductMaster_iPST_iPower[[#This Row],[SellPrice (Inc. VAT)]]*100)/107</f>
        <v>558.87850467289718</v>
      </c>
      <c r="H174" s="128">
        <v>598</v>
      </c>
      <c r="I174" s="134" t="s">
        <v>849</v>
      </c>
      <c r="J174" s="51"/>
      <c r="K174" s="51"/>
      <c r="L174" s="132"/>
      <c r="M174" s="51"/>
      <c r="N174" s="51"/>
      <c r="O174" s="51"/>
      <c r="P174" s="51"/>
      <c r="S174" s="51"/>
    </row>
    <row r="175" spans="1:19" hidden="1">
      <c r="A175" s="133">
        <v>45242499045</v>
      </c>
      <c r="B175" s="51" t="s">
        <v>850</v>
      </c>
      <c r="C175" s="126" t="s">
        <v>851</v>
      </c>
      <c r="D175" s="51" t="s">
        <v>852</v>
      </c>
      <c r="E175" s="51" t="s">
        <v>548</v>
      </c>
      <c r="F175" s="51" t="s">
        <v>172</v>
      </c>
      <c r="G175" s="127">
        <f>(ProductMaster_iPST_iPower[[#This Row],[SellPrice (Inc. VAT)]]*100)/107</f>
        <v>4100.934579439252</v>
      </c>
      <c r="H175" s="128">
        <v>4388</v>
      </c>
      <c r="I175" s="134" t="s">
        <v>853</v>
      </c>
      <c r="J175" s="51"/>
      <c r="K175" s="51"/>
      <c r="L175" s="132"/>
      <c r="M175" s="51"/>
      <c r="N175" s="51"/>
      <c r="O175" s="51"/>
      <c r="P175" s="51"/>
      <c r="S175" s="51"/>
    </row>
    <row r="176" spans="1:19" hidden="1">
      <c r="A176" s="133">
        <v>45242508730</v>
      </c>
      <c r="B176" s="51" t="s">
        <v>854</v>
      </c>
      <c r="C176" s="126" t="s">
        <v>855</v>
      </c>
      <c r="D176" s="51" t="s">
        <v>856</v>
      </c>
      <c r="E176" s="51" t="s">
        <v>548</v>
      </c>
      <c r="F176" s="51" t="s">
        <v>172</v>
      </c>
      <c r="G176" s="127">
        <f>(ProductMaster_iPST_iPower[[#This Row],[SellPrice (Inc. VAT)]]*100)/107</f>
        <v>885.98130841121497</v>
      </c>
      <c r="H176" s="128">
        <v>948</v>
      </c>
      <c r="I176" s="134" t="s">
        <v>857</v>
      </c>
      <c r="J176" s="51"/>
      <c r="K176" s="51"/>
      <c r="L176" s="132"/>
      <c r="M176" s="51"/>
      <c r="N176" s="51"/>
      <c r="O176" s="51"/>
      <c r="P176" s="51"/>
      <c r="S176" s="51"/>
    </row>
    <row r="177" spans="1:19" hidden="1">
      <c r="A177" s="133">
        <v>45242508747</v>
      </c>
      <c r="B177" s="51" t="s">
        <v>858</v>
      </c>
      <c r="C177" s="126" t="s">
        <v>859</v>
      </c>
      <c r="D177" s="51" t="s">
        <v>860</v>
      </c>
      <c r="E177" s="51" t="s">
        <v>548</v>
      </c>
      <c r="F177" s="51" t="s">
        <v>172</v>
      </c>
      <c r="G177" s="127">
        <f>(ProductMaster_iPST_iPower[[#This Row],[SellPrice (Inc. VAT)]]*100)/107</f>
        <v>885.98130841121497</v>
      </c>
      <c r="H177" s="128">
        <v>948</v>
      </c>
      <c r="I177" s="134" t="s">
        <v>861</v>
      </c>
      <c r="J177" s="51"/>
      <c r="K177" s="51"/>
      <c r="L177" s="132"/>
      <c r="M177" s="51"/>
      <c r="N177" s="51"/>
      <c r="O177" s="51"/>
      <c r="P177" s="51"/>
      <c r="S177" s="51"/>
    </row>
    <row r="178" spans="1:19" hidden="1">
      <c r="A178" s="133">
        <v>45242568420</v>
      </c>
      <c r="B178" s="51" t="s">
        <v>862</v>
      </c>
      <c r="C178" s="126" t="s">
        <v>863</v>
      </c>
      <c r="D178" s="51" t="s">
        <v>864</v>
      </c>
      <c r="E178" s="51" t="s">
        <v>548</v>
      </c>
      <c r="F178" s="51" t="s">
        <v>172</v>
      </c>
      <c r="G178" s="127">
        <f>(ProductMaster_iPST_iPower[[#This Row],[SellPrice (Inc. VAT)]]*100)/107</f>
        <v>2390.6542056074768</v>
      </c>
      <c r="H178" s="128">
        <v>2558</v>
      </c>
      <c r="I178" s="134" t="s">
        <v>865</v>
      </c>
      <c r="J178" s="51"/>
      <c r="K178" s="51"/>
      <c r="L178" s="132"/>
      <c r="M178" s="51"/>
      <c r="N178" s="51"/>
      <c r="O178" s="51"/>
      <c r="P178" s="51"/>
      <c r="S178" s="51"/>
    </row>
    <row r="179" spans="1:19" hidden="1">
      <c r="A179" s="133">
        <v>4892210192431</v>
      </c>
      <c r="B179" s="51" t="s">
        <v>866</v>
      </c>
      <c r="C179" s="126" t="s">
        <v>867</v>
      </c>
      <c r="D179" s="51" t="s">
        <v>868</v>
      </c>
      <c r="E179" s="51" t="s">
        <v>548</v>
      </c>
      <c r="F179" s="51" t="s">
        <v>172</v>
      </c>
      <c r="G179" s="127">
        <f>(ProductMaster_iPST_iPower[[#This Row],[SellPrice (Inc. VAT)]]*100)/107</f>
        <v>325.23364485981307</v>
      </c>
      <c r="H179" s="128">
        <v>348</v>
      </c>
      <c r="I179" s="134" t="s">
        <v>869</v>
      </c>
      <c r="J179" s="51"/>
      <c r="K179" s="51"/>
      <c r="L179" s="132"/>
      <c r="M179" s="51"/>
      <c r="N179" s="51"/>
      <c r="O179" s="51"/>
      <c r="P179" s="51"/>
      <c r="S179" s="51"/>
    </row>
    <row r="180" spans="1:19" hidden="1">
      <c r="A180" s="133">
        <v>4892210192448</v>
      </c>
      <c r="B180" s="51" t="s">
        <v>870</v>
      </c>
      <c r="C180" s="126" t="s">
        <v>871</v>
      </c>
      <c r="D180" s="51" t="s">
        <v>872</v>
      </c>
      <c r="E180" s="51" t="s">
        <v>548</v>
      </c>
      <c r="F180" s="51" t="s">
        <v>172</v>
      </c>
      <c r="G180" s="127">
        <f>(ProductMaster_iPST_iPower[[#This Row],[SellPrice (Inc. VAT)]]*100)/107</f>
        <v>325.23364485981307</v>
      </c>
      <c r="H180" s="128">
        <v>348</v>
      </c>
      <c r="I180" s="134" t="s">
        <v>873</v>
      </c>
      <c r="J180" s="51"/>
      <c r="K180" s="51"/>
      <c r="L180" s="132"/>
      <c r="M180" s="51"/>
      <c r="N180" s="51"/>
      <c r="O180" s="51"/>
      <c r="P180" s="51"/>
      <c r="S180" s="51"/>
    </row>
    <row r="181" spans="1:19" hidden="1">
      <c r="A181" s="133">
        <v>4892210192455</v>
      </c>
      <c r="B181" s="51" t="s">
        <v>874</v>
      </c>
      <c r="C181" s="126" t="s">
        <v>875</v>
      </c>
      <c r="D181" s="51" t="s">
        <v>876</v>
      </c>
      <c r="E181" s="51" t="s">
        <v>548</v>
      </c>
      <c r="F181" s="51" t="s">
        <v>172</v>
      </c>
      <c r="G181" s="127">
        <f>(ProductMaster_iPST_iPower[[#This Row],[SellPrice (Inc. VAT)]]*100)/107</f>
        <v>474.76635514018693</v>
      </c>
      <c r="H181" s="128">
        <v>508</v>
      </c>
      <c r="I181" s="134" t="s">
        <v>877</v>
      </c>
      <c r="J181" s="51"/>
      <c r="K181" s="51"/>
      <c r="L181" s="132"/>
      <c r="M181" s="51"/>
      <c r="N181" s="51"/>
      <c r="O181" s="51"/>
      <c r="P181" s="51"/>
      <c r="S181" s="51"/>
    </row>
    <row r="182" spans="1:19" hidden="1">
      <c r="A182" s="133">
        <v>4892210192462</v>
      </c>
      <c r="B182" s="51" t="s">
        <v>878</v>
      </c>
      <c r="C182" s="126" t="s">
        <v>879</v>
      </c>
      <c r="D182" s="51" t="s">
        <v>880</v>
      </c>
      <c r="E182" s="51" t="s">
        <v>548</v>
      </c>
      <c r="F182" s="51" t="s">
        <v>172</v>
      </c>
      <c r="G182" s="127">
        <f>(ProductMaster_iPST_iPower[[#This Row],[SellPrice (Inc. VAT)]]*100)/107</f>
        <v>474.76635514018693</v>
      </c>
      <c r="H182" s="128">
        <v>508</v>
      </c>
      <c r="I182" s="134" t="s">
        <v>881</v>
      </c>
      <c r="J182" s="51"/>
      <c r="K182" s="51"/>
      <c r="L182" s="132"/>
      <c r="M182" s="51"/>
      <c r="N182" s="51"/>
      <c r="O182" s="51"/>
      <c r="P182" s="51"/>
      <c r="S182" s="51"/>
    </row>
    <row r="183" spans="1:19" hidden="1">
      <c r="A183" s="133">
        <v>4892210192479</v>
      </c>
      <c r="B183" s="51" t="s">
        <v>882</v>
      </c>
      <c r="C183" s="126" t="s">
        <v>883</v>
      </c>
      <c r="D183" s="51" t="s">
        <v>884</v>
      </c>
      <c r="E183" s="51" t="s">
        <v>548</v>
      </c>
      <c r="F183" s="51" t="s">
        <v>172</v>
      </c>
      <c r="G183" s="127">
        <f>(ProductMaster_iPST_iPower[[#This Row],[SellPrice (Inc. VAT)]]*100)/107</f>
        <v>633.64485981308417</v>
      </c>
      <c r="H183" s="128">
        <v>678</v>
      </c>
      <c r="I183" s="134" t="s">
        <v>885</v>
      </c>
      <c r="J183" s="51"/>
      <c r="K183" s="51"/>
      <c r="L183" s="132"/>
      <c r="M183" s="51"/>
      <c r="N183" s="51"/>
      <c r="O183" s="51"/>
      <c r="P183" s="51"/>
      <c r="S183" s="51"/>
    </row>
    <row r="184" spans="1:19" hidden="1">
      <c r="A184" s="133">
        <v>4892210192486</v>
      </c>
      <c r="B184" s="51" t="s">
        <v>886</v>
      </c>
      <c r="C184" s="126" t="s">
        <v>887</v>
      </c>
      <c r="D184" s="51" t="s">
        <v>888</v>
      </c>
      <c r="E184" s="51" t="s">
        <v>548</v>
      </c>
      <c r="F184" s="51" t="s">
        <v>172</v>
      </c>
      <c r="G184" s="127">
        <f>(ProductMaster_iPST_iPower[[#This Row],[SellPrice (Inc. VAT)]]*100)/107</f>
        <v>1119.6261682242991</v>
      </c>
      <c r="H184" s="128">
        <v>1198</v>
      </c>
      <c r="I184" s="134" t="s">
        <v>889</v>
      </c>
      <c r="J184" s="51"/>
      <c r="K184" s="51"/>
      <c r="L184" s="132"/>
      <c r="M184" s="51"/>
      <c r="N184" s="51"/>
      <c r="O184" s="51"/>
      <c r="P184" s="51"/>
      <c r="S184" s="51"/>
    </row>
    <row r="185" spans="1:19" hidden="1">
      <c r="A185" s="133">
        <v>45242560899</v>
      </c>
      <c r="B185" s="51" t="s">
        <v>890</v>
      </c>
      <c r="C185" s="126" t="s">
        <v>891</v>
      </c>
      <c r="D185" s="51" t="s">
        <v>892</v>
      </c>
      <c r="E185" s="51" t="s">
        <v>548</v>
      </c>
      <c r="F185" s="51" t="s">
        <v>172</v>
      </c>
      <c r="G185" s="127">
        <f>(ProductMaster_iPST_iPower[[#This Row],[SellPrice (Inc. VAT)]]*100)/107</f>
        <v>951.40186915887853</v>
      </c>
      <c r="H185" s="128">
        <v>1018</v>
      </c>
      <c r="I185" s="134" t="s">
        <v>893</v>
      </c>
      <c r="J185" s="51"/>
      <c r="K185" s="51"/>
      <c r="L185" s="132"/>
      <c r="M185" s="51"/>
      <c r="N185" s="51"/>
      <c r="O185" s="51"/>
      <c r="P185" s="51"/>
      <c r="S185" s="51"/>
    </row>
    <row r="186" spans="1:19" hidden="1">
      <c r="A186" s="133">
        <v>45242560929</v>
      </c>
      <c r="B186" s="51" t="s">
        <v>894</v>
      </c>
      <c r="C186" s="126" t="s">
        <v>895</v>
      </c>
      <c r="D186" s="51" t="s">
        <v>896</v>
      </c>
      <c r="E186" s="51" t="s">
        <v>548</v>
      </c>
      <c r="F186" s="51" t="s">
        <v>172</v>
      </c>
      <c r="G186" s="127">
        <f>(ProductMaster_iPST_iPower[[#This Row],[SellPrice (Inc. VAT)]]*100)/107</f>
        <v>1530.8411214953271</v>
      </c>
      <c r="H186" s="128">
        <v>1638</v>
      </c>
      <c r="I186" s="134" t="s">
        <v>897</v>
      </c>
      <c r="J186" s="51"/>
      <c r="K186" s="51"/>
      <c r="L186" s="132"/>
      <c r="M186" s="51"/>
      <c r="N186" s="51"/>
      <c r="O186" s="51"/>
      <c r="P186" s="51"/>
      <c r="S186" s="51"/>
    </row>
    <row r="187" spans="1:19" hidden="1">
      <c r="A187" s="133">
        <v>45242553617</v>
      </c>
      <c r="B187" s="51" t="s">
        <v>898</v>
      </c>
      <c r="C187" s="126" t="s">
        <v>899</v>
      </c>
      <c r="D187" s="51" t="s">
        <v>900</v>
      </c>
      <c r="E187" s="51" t="s">
        <v>548</v>
      </c>
      <c r="F187" s="51" t="s">
        <v>172</v>
      </c>
      <c r="G187" s="127">
        <f>(ProductMaster_iPST_iPower[[#This Row],[SellPrice (Inc. VAT)]]*100)/107</f>
        <v>325.23364485981307</v>
      </c>
      <c r="H187" s="128">
        <v>348</v>
      </c>
      <c r="I187" s="134" t="s">
        <v>901</v>
      </c>
      <c r="J187" s="51"/>
      <c r="K187" s="51"/>
      <c r="L187" s="132"/>
      <c r="M187" s="51"/>
      <c r="N187" s="51"/>
      <c r="O187" s="51"/>
      <c r="P187" s="51"/>
      <c r="S187" s="51"/>
    </row>
    <row r="188" spans="1:19" hidden="1">
      <c r="A188" s="133">
        <v>45242603305</v>
      </c>
      <c r="B188" s="51" t="s">
        <v>902</v>
      </c>
      <c r="C188" s="126" t="s">
        <v>903</v>
      </c>
      <c r="D188" s="51" t="s">
        <v>904</v>
      </c>
      <c r="E188" s="51" t="s">
        <v>548</v>
      </c>
      <c r="F188" s="51" t="s">
        <v>172</v>
      </c>
      <c r="G188" s="127">
        <f>(ProductMaster_iPST_iPower[[#This Row],[SellPrice (Inc. VAT)]]*100)/107</f>
        <v>3633.6448598130842</v>
      </c>
      <c r="H188" s="128">
        <v>3888</v>
      </c>
      <c r="I188" s="134" t="s">
        <v>905</v>
      </c>
      <c r="J188" s="51"/>
      <c r="K188" s="51"/>
      <c r="L188" s="132"/>
      <c r="M188" s="51"/>
      <c r="N188" s="51"/>
      <c r="O188" s="51"/>
      <c r="P188" s="51"/>
      <c r="S188" s="51"/>
    </row>
    <row r="189" spans="1:19" hidden="1">
      <c r="A189" s="133">
        <v>1318423879115</v>
      </c>
      <c r="B189" s="51" t="s">
        <v>906</v>
      </c>
      <c r="C189" s="126" t="s">
        <v>907</v>
      </c>
      <c r="D189" s="51" t="s">
        <v>908</v>
      </c>
      <c r="E189" s="51" t="s">
        <v>548</v>
      </c>
      <c r="F189" s="51" t="s">
        <v>172</v>
      </c>
      <c r="G189" s="127">
        <f>(ProductMaster_iPST_iPower[[#This Row],[SellPrice (Inc. VAT)]]*100)/107</f>
        <v>3353.2710280373831</v>
      </c>
      <c r="H189" s="128">
        <v>3588</v>
      </c>
      <c r="I189" s="134" t="s">
        <v>909</v>
      </c>
      <c r="J189" s="51"/>
      <c r="K189" s="51"/>
      <c r="L189" s="132"/>
      <c r="M189" s="51"/>
      <c r="N189" s="51"/>
      <c r="O189" s="51"/>
      <c r="P189" s="51"/>
      <c r="S189" s="51"/>
    </row>
    <row r="190" spans="1:19" hidden="1">
      <c r="A190" s="133">
        <v>1318423879116</v>
      </c>
      <c r="B190" s="51" t="s">
        <v>910</v>
      </c>
      <c r="C190" s="126" t="s">
        <v>911</v>
      </c>
      <c r="D190" s="51" t="s">
        <v>912</v>
      </c>
      <c r="E190" s="51" t="s">
        <v>548</v>
      </c>
      <c r="F190" s="51" t="s">
        <v>172</v>
      </c>
      <c r="G190" s="127">
        <f>(ProductMaster_iPST_iPower[[#This Row],[SellPrice (Inc. VAT)]]*100)/107</f>
        <v>2605.6074766355141</v>
      </c>
      <c r="H190" s="128">
        <v>2788</v>
      </c>
      <c r="I190" s="134" t="s">
        <v>913</v>
      </c>
      <c r="J190" s="51"/>
      <c r="K190" s="51"/>
      <c r="L190" s="132"/>
      <c r="M190" s="51"/>
      <c r="N190" s="51"/>
      <c r="O190" s="51"/>
      <c r="P190" s="51"/>
      <c r="S190" s="51"/>
    </row>
    <row r="191" spans="1:19" hidden="1">
      <c r="A191" s="133">
        <v>45242746484</v>
      </c>
      <c r="B191" s="51" t="s">
        <v>914</v>
      </c>
      <c r="C191" s="126" t="s">
        <v>915</v>
      </c>
      <c r="D191" s="51" t="s">
        <v>916</v>
      </c>
      <c r="E191" s="51" t="s">
        <v>548</v>
      </c>
      <c r="F191" s="51" t="s">
        <v>172</v>
      </c>
      <c r="G191" s="127">
        <f>(ProductMaster_iPST_iPower[[#This Row],[SellPrice (Inc. VAT)]]*100)/107</f>
        <v>0</v>
      </c>
      <c r="H191" s="128">
        <v>0</v>
      </c>
      <c r="I191" s="134" t="s">
        <v>917</v>
      </c>
      <c r="J191" s="51"/>
      <c r="K191" s="51"/>
      <c r="L191" s="132"/>
      <c r="M191" s="51"/>
      <c r="N191" s="51"/>
      <c r="O191" s="51"/>
      <c r="P191" s="51"/>
      <c r="S191" s="51"/>
    </row>
    <row r="192" spans="1:19" hidden="1">
      <c r="A192" s="133">
        <v>45242509157</v>
      </c>
      <c r="B192" s="51" t="s">
        <v>918</v>
      </c>
      <c r="C192" s="126" t="s">
        <v>919</v>
      </c>
      <c r="D192" s="51" t="s">
        <v>920</v>
      </c>
      <c r="E192" s="51" t="s">
        <v>548</v>
      </c>
      <c r="F192" s="51" t="s">
        <v>172</v>
      </c>
      <c r="G192" s="127">
        <f>(ProductMaster_iPST_iPower[[#This Row],[SellPrice (Inc. VAT)]]*100)/107</f>
        <v>0</v>
      </c>
      <c r="H192" s="128">
        <v>0</v>
      </c>
      <c r="I192" s="134" t="s">
        <v>921</v>
      </c>
      <c r="J192" s="51"/>
      <c r="K192" s="51"/>
      <c r="L192" s="132"/>
      <c r="M192" s="51"/>
      <c r="N192" s="51"/>
      <c r="O192" s="51"/>
      <c r="P192" s="51"/>
      <c r="S192" s="51"/>
    </row>
    <row r="193" spans="1:19" hidden="1">
      <c r="A193" s="133">
        <v>4892210197894</v>
      </c>
      <c r="B193" s="51" t="s">
        <v>922</v>
      </c>
      <c r="C193" s="126" t="s">
        <v>923</v>
      </c>
      <c r="D193" s="51" t="s">
        <v>924</v>
      </c>
      <c r="E193" s="51" t="s">
        <v>925</v>
      </c>
      <c r="F193" s="51" t="s">
        <v>172</v>
      </c>
      <c r="G193" s="127">
        <f>(ProductMaster_iPST_iPower[[#This Row],[SellPrice (Inc. VAT)]]*100)/107</f>
        <v>3166.3551401869158</v>
      </c>
      <c r="H193" s="128">
        <v>3388</v>
      </c>
      <c r="I193" s="134" t="s">
        <v>926</v>
      </c>
      <c r="J193" s="51"/>
      <c r="K193" s="51"/>
      <c r="L193" s="132"/>
      <c r="M193" s="51"/>
      <c r="N193" s="51"/>
      <c r="O193" s="51"/>
      <c r="P193" s="51"/>
      <c r="S193" s="51"/>
    </row>
    <row r="194" spans="1:19" hidden="1">
      <c r="A194" s="133">
        <v>4892210225467</v>
      </c>
      <c r="B194" s="51" t="s">
        <v>927</v>
      </c>
      <c r="C194" s="126" t="s">
        <v>928</v>
      </c>
      <c r="D194" s="51" t="s">
        <v>929</v>
      </c>
      <c r="E194" s="51" t="s">
        <v>925</v>
      </c>
      <c r="F194" s="51" t="s">
        <v>172</v>
      </c>
      <c r="G194" s="127">
        <f>(ProductMaster_iPST_iPower[[#This Row],[SellPrice (Inc. VAT)]]*100)/107</f>
        <v>4194.3925233644859</v>
      </c>
      <c r="H194" s="128">
        <v>4488</v>
      </c>
      <c r="I194" s="134" t="s">
        <v>930</v>
      </c>
      <c r="J194" s="51"/>
      <c r="K194" s="51"/>
      <c r="L194" s="132"/>
      <c r="M194" s="51"/>
      <c r="N194" s="51"/>
      <c r="O194" s="51"/>
      <c r="P194" s="51"/>
      <c r="S194" s="51"/>
    </row>
    <row r="195" spans="1:19" hidden="1">
      <c r="A195" s="133">
        <v>4892210211231</v>
      </c>
      <c r="B195" s="51" t="s">
        <v>931</v>
      </c>
      <c r="C195" s="126" t="s">
        <v>932</v>
      </c>
      <c r="D195" s="51" t="s">
        <v>933</v>
      </c>
      <c r="E195" s="51" t="s">
        <v>925</v>
      </c>
      <c r="F195" s="51" t="s">
        <v>172</v>
      </c>
      <c r="G195" s="127">
        <f>(ProductMaster_iPST_iPower[[#This Row],[SellPrice (Inc. VAT)]]*100)/107</f>
        <v>2418.6915887850469</v>
      </c>
      <c r="H195" s="128">
        <v>2588</v>
      </c>
      <c r="I195" s="134" t="s">
        <v>934</v>
      </c>
      <c r="J195" s="51"/>
      <c r="K195" s="51"/>
      <c r="L195" s="132"/>
      <c r="M195" s="51"/>
      <c r="N195" s="51"/>
      <c r="O195" s="51"/>
      <c r="P195" s="51"/>
      <c r="S195" s="51"/>
    </row>
    <row r="196" spans="1:19" hidden="1">
      <c r="A196" s="133">
        <v>4892210187963</v>
      </c>
      <c r="B196" s="51" t="s">
        <v>935</v>
      </c>
      <c r="C196" s="126" t="s">
        <v>936</v>
      </c>
      <c r="D196" s="51" t="s">
        <v>937</v>
      </c>
      <c r="E196" s="51" t="s">
        <v>925</v>
      </c>
      <c r="F196" s="51" t="s">
        <v>172</v>
      </c>
      <c r="G196" s="127">
        <f>(ProductMaster_iPST_iPower[[#This Row],[SellPrice (Inc. VAT)]]*100)/107</f>
        <v>3446.7289719626169</v>
      </c>
      <c r="H196" s="128">
        <v>3688</v>
      </c>
      <c r="I196" s="134" t="s">
        <v>938</v>
      </c>
      <c r="J196" s="51"/>
      <c r="K196" s="51"/>
      <c r="L196" s="132"/>
      <c r="M196" s="51"/>
      <c r="N196" s="51"/>
      <c r="O196" s="51"/>
      <c r="P196" s="51"/>
      <c r="S196" s="51"/>
    </row>
    <row r="197" spans="1:19" hidden="1">
      <c r="A197" s="133">
        <v>4892210234308</v>
      </c>
      <c r="B197" s="51" t="s">
        <v>939</v>
      </c>
      <c r="C197" s="126" t="s">
        <v>940</v>
      </c>
      <c r="D197" s="51" t="s">
        <v>941</v>
      </c>
      <c r="E197" s="51" t="s">
        <v>925</v>
      </c>
      <c r="F197" s="51" t="s">
        <v>172</v>
      </c>
      <c r="G197" s="127">
        <f>(ProductMaster_iPST_iPower[[#This Row],[SellPrice (Inc. VAT)]]*100)/107</f>
        <v>4568.2242990654204</v>
      </c>
      <c r="H197" s="128">
        <v>4888</v>
      </c>
      <c r="I197" s="134" t="s">
        <v>942</v>
      </c>
      <c r="J197" s="51"/>
      <c r="K197" s="51"/>
      <c r="L197" s="132"/>
      <c r="M197" s="51"/>
      <c r="N197" s="51"/>
      <c r="O197" s="51"/>
      <c r="P197" s="51"/>
      <c r="S197" s="51"/>
    </row>
    <row r="198" spans="1:19" hidden="1">
      <c r="A198" s="133">
        <v>4892210225283</v>
      </c>
      <c r="B198" s="51" t="s">
        <v>943</v>
      </c>
      <c r="C198" s="126" t="s">
        <v>944</v>
      </c>
      <c r="D198" s="51" t="s">
        <v>945</v>
      </c>
      <c r="E198" s="51" t="s">
        <v>925</v>
      </c>
      <c r="F198" s="51" t="s">
        <v>172</v>
      </c>
      <c r="G198" s="127">
        <f>(ProductMaster_iPST_iPower[[#This Row],[SellPrice (Inc. VAT)]]*100)/107</f>
        <v>6998.130841121495</v>
      </c>
      <c r="H198" s="128">
        <v>7488</v>
      </c>
      <c r="I198" s="134" t="s">
        <v>946</v>
      </c>
      <c r="J198" s="51"/>
      <c r="K198" s="51"/>
      <c r="L198" s="132"/>
      <c r="M198" s="51"/>
      <c r="N198" s="51"/>
      <c r="O198" s="51"/>
      <c r="P198" s="51"/>
      <c r="S198" s="51"/>
    </row>
    <row r="199" spans="1:19" hidden="1">
      <c r="A199" s="133">
        <v>4892210225276</v>
      </c>
      <c r="B199" s="51" t="s">
        <v>947</v>
      </c>
      <c r="C199" s="126" t="s">
        <v>948</v>
      </c>
      <c r="D199" s="51" t="s">
        <v>949</v>
      </c>
      <c r="E199" s="51" t="s">
        <v>925</v>
      </c>
      <c r="F199" s="51" t="s">
        <v>172</v>
      </c>
      <c r="G199" s="127">
        <f>(ProductMaster_iPST_iPower[[#This Row],[SellPrice (Inc. VAT)]]*100)/107</f>
        <v>7371.9626168224295</v>
      </c>
      <c r="H199" s="128">
        <v>7888</v>
      </c>
      <c r="I199" s="134" t="s">
        <v>950</v>
      </c>
      <c r="J199" s="51"/>
      <c r="K199" s="51"/>
      <c r="L199" s="132"/>
      <c r="M199" s="51"/>
      <c r="N199" s="51"/>
      <c r="O199" s="51"/>
      <c r="P199" s="51"/>
      <c r="S199" s="51"/>
    </row>
    <row r="200" spans="1:19" hidden="1">
      <c r="A200" s="133">
        <v>4892210194763</v>
      </c>
      <c r="B200" s="51" t="s">
        <v>951</v>
      </c>
      <c r="C200" s="126" t="s">
        <v>952</v>
      </c>
      <c r="D200" s="51" t="s">
        <v>953</v>
      </c>
      <c r="E200" s="51" t="s">
        <v>925</v>
      </c>
      <c r="F200" s="51" t="s">
        <v>172</v>
      </c>
      <c r="G200" s="127">
        <f>(ProductMaster_iPST_iPower[[#This Row],[SellPrice (Inc. VAT)]]*100)/107</f>
        <v>6530.8411214953267</v>
      </c>
      <c r="H200" s="128">
        <v>6988</v>
      </c>
      <c r="I200" s="134" t="s">
        <v>954</v>
      </c>
      <c r="J200" s="51"/>
      <c r="K200" s="51"/>
      <c r="L200" s="132"/>
      <c r="M200" s="51"/>
      <c r="N200" s="51"/>
      <c r="O200" s="51"/>
      <c r="P200" s="51"/>
      <c r="S200" s="51"/>
    </row>
    <row r="201" spans="1:19" hidden="1">
      <c r="A201" s="133">
        <v>4892210240910</v>
      </c>
      <c r="B201" s="51" t="s">
        <v>955</v>
      </c>
      <c r="C201" s="126" t="s">
        <v>956</v>
      </c>
      <c r="D201" s="51" t="s">
        <v>957</v>
      </c>
      <c r="E201" s="51" t="s">
        <v>925</v>
      </c>
      <c r="F201" s="51" t="s">
        <v>172</v>
      </c>
      <c r="G201" s="127">
        <f>(ProductMaster_iPST_iPower[[#This Row],[SellPrice (Inc. VAT)]]*100)/107</f>
        <v>8306.5420560747662</v>
      </c>
      <c r="H201" s="128">
        <v>8888</v>
      </c>
      <c r="I201" s="134" t="s">
        <v>958</v>
      </c>
      <c r="J201" s="51"/>
      <c r="K201" s="51"/>
      <c r="L201" s="132"/>
      <c r="M201" s="51"/>
      <c r="N201" s="51"/>
      <c r="O201" s="51"/>
      <c r="P201" s="51"/>
      <c r="S201" s="51"/>
    </row>
    <row r="202" spans="1:19" hidden="1">
      <c r="A202" s="133">
        <v>4892210188502</v>
      </c>
      <c r="B202" s="51" t="s">
        <v>959</v>
      </c>
      <c r="C202" s="126" t="s">
        <v>960</v>
      </c>
      <c r="D202" s="51" t="s">
        <v>961</v>
      </c>
      <c r="E202" s="51" t="s">
        <v>925</v>
      </c>
      <c r="F202" s="51" t="s">
        <v>172</v>
      </c>
      <c r="G202" s="127">
        <f>(ProductMaster_iPST_iPower[[#This Row],[SellPrice (Inc. VAT)]]*100)/107</f>
        <v>25409.345794392524</v>
      </c>
      <c r="H202" s="128">
        <v>27188</v>
      </c>
      <c r="I202" s="134" t="s">
        <v>962</v>
      </c>
      <c r="J202" s="51"/>
      <c r="K202" s="51"/>
      <c r="L202" s="132"/>
      <c r="M202" s="51"/>
      <c r="N202" s="51"/>
      <c r="O202" s="51"/>
      <c r="P202" s="51"/>
      <c r="S202" s="51"/>
    </row>
    <row r="203" spans="1:19" hidden="1">
      <c r="A203" s="133">
        <v>4892210139931</v>
      </c>
      <c r="B203" s="51" t="s">
        <v>963</v>
      </c>
      <c r="C203" s="126" t="s">
        <v>964</v>
      </c>
      <c r="D203" s="51" t="s">
        <v>965</v>
      </c>
      <c r="E203" s="51" t="s">
        <v>925</v>
      </c>
      <c r="F203" s="51" t="s">
        <v>172</v>
      </c>
      <c r="G203" s="127">
        <f>(ProductMaster_iPST_iPower[[#This Row],[SellPrice (Inc. VAT)]]*100)/107</f>
        <v>5035.5140186915887</v>
      </c>
      <c r="H203" s="128">
        <v>5388</v>
      </c>
      <c r="I203" s="134" t="s">
        <v>966</v>
      </c>
      <c r="J203" s="51"/>
      <c r="K203" s="51"/>
      <c r="L203" s="132"/>
      <c r="M203" s="51"/>
      <c r="N203" s="51"/>
      <c r="O203" s="51"/>
      <c r="P203" s="51"/>
      <c r="S203" s="51"/>
    </row>
    <row r="204" spans="1:19" hidden="1">
      <c r="A204" s="133">
        <v>1318423879119</v>
      </c>
      <c r="B204" s="51" t="s">
        <v>967</v>
      </c>
      <c r="C204" s="126" t="s">
        <v>968</v>
      </c>
      <c r="D204" s="51" t="s">
        <v>969</v>
      </c>
      <c r="E204" s="51" t="s">
        <v>925</v>
      </c>
      <c r="F204" s="51" t="s">
        <v>172</v>
      </c>
      <c r="G204" s="127">
        <f>(ProductMaster_iPST_iPower[[#This Row],[SellPrice (Inc. VAT)]]*100)/107</f>
        <v>10175.700934579439</v>
      </c>
      <c r="H204" s="128">
        <v>10888</v>
      </c>
      <c r="I204" s="134" t="s">
        <v>970</v>
      </c>
      <c r="J204" s="51"/>
      <c r="K204" s="51"/>
      <c r="L204" s="132"/>
      <c r="M204" s="51"/>
      <c r="N204" s="51"/>
      <c r="O204" s="51"/>
      <c r="P204" s="51"/>
      <c r="S204" s="51"/>
    </row>
    <row r="205" spans="1:19" hidden="1">
      <c r="A205" s="133">
        <v>4892210132215</v>
      </c>
      <c r="B205" s="51" t="s">
        <v>971</v>
      </c>
      <c r="C205" s="126" t="s">
        <v>972</v>
      </c>
      <c r="D205" s="51" t="s">
        <v>973</v>
      </c>
      <c r="E205" s="51" t="s">
        <v>925</v>
      </c>
      <c r="F205" s="51" t="s">
        <v>172</v>
      </c>
      <c r="G205" s="127">
        <f>(ProductMaster_iPST_iPower[[#This Row],[SellPrice (Inc. VAT)]]*100)/107</f>
        <v>1764.4859813084113</v>
      </c>
      <c r="H205" s="128">
        <v>1888</v>
      </c>
      <c r="I205" s="134" t="s">
        <v>974</v>
      </c>
      <c r="J205" s="51"/>
      <c r="K205" s="51"/>
      <c r="L205" s="132"/>
      <c r="M205" s="51"/>
      <c r="N205" s="51"/>
      <c r="O205" s="51"/>
      <c r="P205" s="51"/>
      <c r="S205" s="51"/>
    </row>
    <row r="206" spans="1:19" hidden="1">
      <c r="A206" s="133">
        <v>6951662505782</v>
      </c>
      <c r="B206" s="51" t="s">
        <v>975</v>
      </c>
      <c r="C206" s="126" t="s">
        <v>976</v>
      </c>
      <c r="D206" s="51" t="s">
        <v>977</v>
      </c>
      <c r="E206" s="51" t="s">
        <v>925</v>
      </c>
      <c r="F206" s="51" t="s">
        <v>172</v>
      </c>
      <c r="G206" s="127">
        <f>(ProductMaster_iPST_iPower[[#This Row],[SellPrice (Inc. VAT)]]*100)/107</f>
        <v>6904.6728971962621</v>
      </c>
      <c r="H206" s="128">
        <v>7388</v>
      </c>
      <c r="I206" s="134" t="s">
        <v>978</v>
      </c>
      <c r="J206" s="51"/>
      <c r="K206" s="51"/>
      <c r="L206" s="132"/>
      <c r="M206" s="51"/>
      <c r="N206" s="51"/>
      <c r="O206" s="51"/>
      <c r="P206" s="51"/>
      <c r="S206" s="51"/>
    </row>
    <row r="207" spans="1:19" hidden="1">
      <c r="A207" s="133">
        <v>4892210240903</v>
      </c>
      <c r="B207" s="51" t="s">
        <v>979</v>
      </c>
      <c r="C207" s="126" t="s">
        <v>980</v>
      </c>
      <c r="D207" s="51" t="s">
        <v>981</v>
      </c>
      <c r="E207" s="51" t="s">
        <v>925</v>
      </c>
      <c r="F207" s="51" t="s">
        <v>172</v>
      </c>
      <c r="G207" s="127">
        <f>(ProductMaster_iPST_iPower[[#This Row],[SellPrice (Inc. VAT)]]*100)/107</f>
        <v>9241.1214953271028</v>
      </c>
      <c r="H207" s="128">
        <v>9888</v>
      </c>
      <c r="I207" s="134" t="s">
        <v>982</v>
      </c>
      <c r="J207" s="51"/>
      <c r="K207" s="51"/>
      <c r="L207" s="132"/>
      <c r="M207" s="51"/>
      <c r="N207" s="51"/>
      <c r="O207" s="51"/>
      <c r="P207" s="51"/>
      <c r="S207" s="51"/>
    </row>
    <row r="208" spans="1:19" hidden="1">
      <c r="A208" s="133">
        <v>1318423879118</v>
      </c>
      <c r="B208" s="51" t="s">
        <v>983</v>
      </c>
      <c r="C208" s="126" t="s">
        <v>984</v>
      </c>
      <c r="D208" s="51" t="s">
        <v>985</v>
      </c>
      <c r="E208" s="51" t="s">
        <v>925</v>
      </c>
      <c r="F208" s="51" t="s">
        <v>172</v>
      </c>
      <c r="G208" s="127">
        <f>(ProductMaster_iPST_iPower[[#This Row],[SellPrice (Inc. VAT)]]*100)/107</f>
        <v>13914.018691588784</v>
      </c>
      <c r="H208" s="128">
        <v>14888</v>
      </c>
      <c r="I208" s="134" t="s">
        <v>986</v>
      </c>
      <c r="J208" s="51"/>
      <c r="K208" s="51"/>
      <c r="L208" s="132"/>
      <c r="M208" s="51"/>
      <c r="N208" s="51"/>
      <c r="O208" s="51"/>
      <c r="P208" s="51"/>
      <c r="S208" s="51"/>
    </row>
    <row r="209" spans="1:19" hidden="1">
      <c r="A209" s="133">
        <v>4892210198167</v>
      </c>
      <c r="B209" s="51" t="s">
        <v>987</v>
      </c>
      <c r="C209" s="126" t="s">
        <v>988</v>
      </c>
      <c r="D209" s="51" t="s">
        <v>989</v>
      </c>
      <c r="E209" s="51" t="s">
        <v>925</v>
      </c>
      <c r="F209" s="51" t="s">
        <v>172</v>
      </c>
      <c r="G209" s="127">
        <f>(ProductMaster_iPST_iPower[[#This Row],[SellPrice (Inc. VAT)]]*100)/107</f>
        <v>7558.8785046728972</v>
      </c>
      <c r="H209" s="128">
        <v>8088</v>
      </c>
      <c r="I209" s="134" t="s">
        <v>990</v>
      </c>
      <c r="J209" s="51"/>
      <c r="K209" s="51"/>
      <c r="L209" s="132"/>
      <c r="M209" s="51"/>
      <c r="N209" s="51"/>
      <c r="O209" s="51"/>
      <c r="P209" s="51"/>
      <c r="S209" s="51"/>
    </row>
    <row r="210" spans="1:19" hidden="1">
      <c r="A210" s="133">
        <v>1318423879117</v>
      </c>
      <c r="B210" s="51" t="s">
        <v>991</v>
      </c>
      <c r="C210" s="126" t="s">
        <v>992</v>
      </c>
      <c r="D210" s="51" t="s">
        <v>993</v>
      </c>
      <c r="E210" s="51" t="s">
        <v>925</v>
      </c>
      <c r="F210" s="51" t="s">
        <v>172</v>
      </c>
      <c r="G210" s="127">
        <f>(ProductMaster_iPST_iPower[[#This Row],[SellPrice (Inc. VAT)]]*100)/107</f>
        <v>77465.420560747662</v>
      </c>
      <c r="H210" s="128">
        <v>82888</v>
      </c>
      <c r="I210" s="134" t="s">
        <v>994</v>
      </c>
      <c r="J210" s="51"/>
      <c r="K210" s="51"/>
      <c r="L210" s="132"/>
      <c r="M210" s="51"/>
      <c r="N210" s="51"/>
      <c r="O210" s="51"/>
      <c r="P210" s="51"/>
      <c r="S210" s="51"/>
    </row>
    <row r="211" spans="1:19" hidden="1">
      <c r="A211" s="133">
        <v>4892210190345</v>
      </c>
      <c r="B211" s="51" t="s">
        <v>995</v>
      </c>
      <c r="C211" s="126" t="s">
        <v>996</v>
      </c>
      <c r="D211" s="51" t="s">
        <v>997</v>
      </c>
      <c r="E211" s="51" t="s">
        <v>925</v>
      </c>
      <c r="F211" s="51" t="s">
        <v>172</v>
      </c>
      <c r="G211" s="127">
        <f>(ProductMaster_iPST_iPower[[#This Row],[SellPrice (Inc. VAT)]]*100)/107</f>
        <v>18867.289719626169</v>
      </c>
      <c r="H211" s="128">
        <v>20188</v>
      </c>
      <c r="I211" s="134" t="s">
        <v>998</v>
      </c>
      <c r="J211" s="51"/>
      <c r="K211" s="51"/>
      <c r="L211" s="132"/>
      <c r="M211" s="51"/>
      <c r="N211" s="51"/>
      <c r="O211" s="51"/>
      <c r="P211" s="51"/>
      <c r="S211" s="51"/>
    </row>
    <row r="212" spans="1:19" hidden="1">
      <c r="A212" s="133"/>
      <c r="B212" s="51" t="s">
        <v>999</v>
      </c>
      <c r="C212" s="126" t="s">
        <v>1000</v>
      </c>
      <c r="D212" s="51" t="s">
        <v>1001</v>
      </c>
      <c r="E212" s="51" t="s">
        <v>925</v>
      </c>
      <c r="F212" s="51" t="s">
        <v>172</v>
      </c>
      <c r="G212" s="127">
        <f>(ProductMaster_iPST_iPower[[#This Row],[SellPrice (Inc. VAT)]]*100)/107</f>
        <v>20456.074766355141</v>
      </c>
      <c r="H212" s="128">
        <v>21888</v>
      </c>
      <c r="I212" s="135" t="e">
        <v>#N/A</v>
      </c>
      <c r="J212" s="51"/>
      <c r="K212" s="51"/>
      <c r="L212" s="132"/>
      <c r="M212" s="51"/>
      <c r="N212" s="51"/>
      <c r="O212" s="51"/>
      <c r="P212" s="51"/>
      <c r="S212" s="51"/>
    </row>
    <row r="213" spans="1:19" hidden="1">
      <c r="A213" s="133"/>
      <c r="B213" s="51" t="s">
        <v>1002</v>
      </c>
      <c r="C213" s="126" t="s">
        <v>1003</v>
      </c>
      <c r="D213" s="51" t="s">
        <v>1004</v>
      </c>
      <c r="E213" s="51" t="s">
        <v>925</v>
      </c>
      <c r="F213" s="51" t="s">
        <v>172</v>
      </c>
      <c r="G213" s="127">
        <f>(ProductMaster_iPST_iPower[[#This Row],[SellPrice (Inc. VAT)]]*100)/107</f>
        <v>70923.364485981307</v>
      </c>
      <c r="H213" s="128">
        <v>75888</v>
      </c>
      <c r="I213" s="135" t="e">
        <v>#N/A</v>
      </c>
      <c r="J213" s="51"/>
      <c r="K213" s="51"/>
      <c r="L213" s="132"/>
      <c r="M213" s="51"/>
      <c r="N213" s="51"/>
      <c r="O213" s="51"/>
      <c r="P213" s="51"/>
      <c r="S213" s="51"/>
    </row>
    <row r="214" spans="1:19" hidden="1">
      <c r="A214" s="133">
        <v>45242603312</v>
      </c>
      <c r="B214" s="51" t="s">
        <v>1005</v>
      </c>
      <c r="C214" s="126" t="s">
        <v>1006</v>
      </c>
      <c r="D214" s="51" t="s">
        <v>1007</v>
      </c>
      <c r="E214" s="51" t="s">
        <v>171</v>
      </c>
      <c r="F214" s="51" t="s">
        <v>1008</v>
      </c>
      <c r="G214" s="127">
        <f>(ProductMaster_iPST_iPower[[#This Row],[SellPrice (Inc. VAT)]]*100)/107</f>
        <v>1297.1962616822429</v>
      </c>
      <c r="H214" s="128">
        <v>1388</v>
      </c>
      <c r="I214" s="134" t="s">
        <v>1009</v>
      </c>
      <c r="J214" s="51"/>
      <c r="K214" s="51"/>
      <c r="L214" s="132"/>
      <c r="M214" s="51"/>
      <c r="N214" s="51"/>
      <c r="O214" s="51"/>
      <c r="P214" s="51"/>
      <c r="S214" s="51"/>
    </row>
    <row r="215" spans="1:19" hidden="1">
      <c r="A215" s="133">
        <v>45242610273</v>
      </c>
      <c r="B215" s="51" t="s">
        <v>1010</v>
      </c>
      <c r="C215" s="126" t="s">
        <v>1011</v>
      </c>
      <c r="D215" s="51" t="s">
        <v>1012</v>
      </c>
      <c r="E215" s="51" t="s">
        <v>171</v>
      </c>
      <c r="F215" s="51" t="s">
        <v>1008</v>
      </c>
      <c r="G215" s="127">
        <f>(ProductMaster_iPST_iPower[[#This Row],[SellPrice (Inc. VAT)]]*100)/107</f>
        <v>829.90654205607473</v>
      </c>
      <c r="H215" s="128">
        <v>888</v>
      </c>
      <c r="I215" s="134" t="s">
        <v>1013</v>
      </c>
      <c r="J215" s="51"/>
      <c r="K215" s="51"/>
      <c r="L215" s="132"/>
      <c r="M215" s="51"/>
      <c r="N215" s="51"/>
      <c r="O215" s="51"/>
      <c r="P215" s="51"/>
      <c r="S215" s="51"/>
    </row>
    <row r="216" spans="1:19" hidden="1">
      <c r="A216" s="133">
        <v>45242610280</v>
      </c>
      <c r="B216" s="51" t="s">
        <v>1014</v>
      </c>
      <c r="C216" s="126" t="s">
        <v>1015</v>
      </c>
      <c r="D216" s="51" t="s">
        <v>1016</v>
      </c>
      <c r="E216" s="51" t="s">
        <v>171</v>
      </c>
      <c r="F216" s="51" t="s">
        <v>1008</v>
      </c>
      <c r="G216" s="127">
        <f>(ProductMaster_iPST_iPower[[#This Row],[SellPrice (Inc. VAT)]]*100)/107</f>
        <v>456.07476635514018</v>
      </c>
      <c r="H216" s="128">
        <v>488</v>
      </c>
      <c r="I216" s="134" t="s">
        <v>1017</v>
      </c>
      <c r="J216" s="51"/>
      <c r="K216" s="51"/>
      <c r="L216" s="132"/>
      <c r="M216" s="51"/>
      <c r="N216" s="51"/>
      <c r="O216" s="51"/>
      <c r="P216" s="51"/>
      <c r="S216" s="51"/>
    </row>
    <row r="217" spans="1:19" hidden="1">
      <c r="A217" s="133">
        <v>45242610273</v>
      </c>
      <c r="B217" s="51" t="s">
        <v>1018</v>
      </c>
      <c r="C217" s="126" t="s">
        <v>1019</v>
      </c>
      <c r="D217" s="51" t="s">
        <v>1020</v>
      </c>
      <c r="E217" s="51" t="s">
        <v>171</v>
      </c>
      <c r="F217" s="51" t="s">
        <v>1008</v>
      </c>
      <c r="G217" s="127">
        <f>(ProductMaster_iPST_iPower[[#This Row],[SellPrice (Inc. VAT)]]*100)/107</f>
        <v>923.36448598130846</v>
      </c>
      <c r="H217" s="128">
        <v>988</v>
      </c>
      <c r="I217" s="134" t="s">
        <v>1013</v>
      </c>
      <c r="J217" s="51"/>
      <c r="K217" s="51"/>
      <c r="L217" s="132"/>
      <c r="M217" s="51"/>
      <c r="N217" s="51"/>
      <c r="O217" s="51"/>
      <c r="P217" s="51"/>
      <c r="S217" s="51"/>
    </row>
    <row r="218" spans="1:19" hidden="1">
      <c r="A218" s="133">
        <v>45242610426</v>
      </c>
      <c r="B218" s="51" t="s">
        <v>1021</v>
      </c>
      <c r="C218" s="126" t="s">
        <v>1022</v>
      </c>
      <c r="D218" s="51" t="s">
        <v>1023</v>
      </c>
      <c r="E218" s="51" t="s">
        <v>171</v>
      </c>
      <c r="F218" s="51" t="s">
        <v>1008</v>
      </c>
      <c r="G218" s="127">
        <f>(ProductMaster_iPST_iPower[[#This Row],[SellPrice (Inc. VAT)]]*100)/107</f>
        <v>1390.6542056074766</v>
      </c>
      <c r="H218" s="128">
        <v>1488</v>
      </c>
      <c r="I218" s="134" t="s">
        <v>1024</v>
      </c>
      <c r="J218" s="51"/>
      <c r="K218" s="51"/>
      <c r="L218" s="132"/>
      <c r="M218" s="51"/>
      <c r="N218" s="51"/>
      <c r="O218" s="51"/>
      <c r="P218" s="51"/>
      <c r="S218" s="51"/>
    </row>
    <row r="219" spans="1:19" hidden="1">
      <c r="A219" s="133"/>
      <c r="B219" s="51" t="s">
        <v>1025</v>
      </c>
      <c r="C219" s="126" t="s">
        <v>1026</v>
      </c>
      <c r="D219" s="51" t="s">
        <v>1027</v>
      </c>
      <c r="E219" s="51" t="s">
        <v>925</v>
      </c>
      <c r="F219" s="51" t="s">
        <v>1028</v>
      </c>
      <c r="G219" s="127">
        <f>(ProductMaster_iPST_iPower[[#This Row],[SellPrice (Inc. VAT)]]*100)/107</f>
        <v>0</v>
      </c>
      <c r="H219" s="128">
        <v>0</v>
      </c>
      <c r="I219" s="135" t="e">
        <v>#N/A</v>
      </c>
      <c r="J219" s="51"/>
      <c r="K219" s="51"/>
      <c r="L219" s="132"/>
      <c r="M219" s="51"/>
      <c r="N219" s="51"/>
      <c r="O219" s="51"/>
      <c r="P219" s="51"/>
      <c r="S219" s="51"/>
    </row>
    <row r="220" spans="1:19" hidden="1">
      <c r="A220" s="133"/>
      <c r="B220" s="51" t="s">
        <v>1029</v>
      </c>
      <c r="C220" s="126" t="s">
        <v>1030</v>
      </c>
      <c r="D220" s="51" t="s">
        <v>1031</v>
      </c>
      <c r="E220" s="51" t="s">
        <v>925</v>
      </c>
      <c r="F220" s="51" t="s">
        <v>1028</v>
      </c>
      <c r="G220" s="127">
        <f>(ProductMaster_iPST_iPower[[#This Row],[SellPrice (Inc. VAT)]]*100)/107</f>
        <v>148493.45794392523</v>
      </c>
      <c r="H220" s="128">
        <v>158888</v>
      </c>
      <c r="I220" s="135" t="e">
        <v>#N/A</v>
      </c>
      <c r="J220" s="51"/>
      <c r="K220" s="51"/>
      <c r="L220" s="132"/>
      <c r="M220" s="51"/>
      <c r="N220" s="51"/>
      <c r="O220" s="51"/>
      <c r="P220" s="51"/>
      <c r="S220" s="51"/>
    </row>
    <row r="221" spans="1:19" hidden="1">
      <c r="A221" s="133">
        <v>4892210199027</v>
      </c>
      <c r="B221" s="51" t="s">
        <v>1032</v>
      </c>
      <c r="C221" s="126" t="s">
        <v>1033</v>
      </c>
      <c r="D221" s="51" t="s">
        <v>1034</v>
      </c>
      <c r="E221" s="51" t="s">
        <v>171</v>
      </c>
      <c r="F221" s="51" t="s">
        <v>1035</v>
      </c>
      <c r="G221" s="127">
        <f>(ProductMaster_iPST_iPower[[#This Row],[SellPrice (Inc. VAT)]]*100)/107</f>
        <v>5642.9906542056078</v>
      </c>
      <c r="H221" s="128">
        <v>6038</v>
      </c>
      <c r="I221" s="134" t="s">
        <v>1036</v>
      </c>
      <c r="J221" s="51"/>
      <c r="K221" s="51"/>
      <c r="L221" s="132"/>
      <c r="M221" s="51"/>
      <c r="N221" s="51"/>
      <c r="O221" s="51"/>
      <c r="P221" s="51"/>
      <c r="S221" s="51"/>
    </row>
    <row r="222" spans="1:19" hidden="1">
      <c r="A222" s="133">
        <v>4892210236258</v>
      </c>
      <c r="B222" s="51" t="s">
        <v>1037</v>
      </c>
      <c r="C222" s="126" t="s">
        <v>1038</v>
      </c>
      <c r="D222" s="51" t="s">
        <v>1039</v>
      </c>
      <c r="E222" s="51" t="s">
        <v>925</v>
      </c>
      <c r="F222" s="51" t="s">
        <v>1035</v>
      </c>
      <c r="G222" s="127">
        <f>(ProductMaster_iPST_iPower[[#This Row],[SellPrice (Inc. VAT)]]*100)/107</f>
        <v>6530.8411214953267</v>
      </c>
      <c r="H222" s="128">
        <v>6988</v>
      </c>
      <c r="I222" s="134" t="s">
        <v>1040</v>
      </c>
      <c r="J222" s="51"/>
      <c r="K222" s="51"/>
      <c r="L222" s="132"/>
      <c r="M222" s="51"/>
      <c r="N222" s="51"/>
      <c r="O222" s="51"/>
      <c r="P222" s="51"/>
      <c r="S222" s="51"/>
    </row>
    <row r="223" spans="1:19" hidden="1">
      <c r="A223" s="133">
        <v>4892210215000</v>
      </c>
      <c r="B223" s="51" t="s">
        <v>1041</v>
      </c>
      <c r="C223" s="126" t="s">
        <v>1042</v>
      </c>
      <c r="D223" s="51" t="s">
        <v>1043</v>
      </c>
      <c r="E223" s="51" t="s">
        <v>925</v>
      </c>
      <c r="F223" s="51" t="s">
        <v>1035</v>
      </c>
      <c r="G223" s="127">
        <f>(ProductMaster_iPST_iPower[[#This Row],[SellPrice (Inc. VAT)]]*100)/107</f>
        <v>9241.1214953271028</v>
      </c>
      <c r="H223" s="128">
        <v>9888</v>
      </c>
      <c r="I223" s="134" t="s">
        <v>1044</v>
      </c>
      <c r="J223" s="51"/>
      <c r="K223" s="51"/>
      <c r="L223" s="132"/>
      <c r="M223" s="51"/>
      <c r="N223" s="51"/>
      <c r="O223" s="51"/>
      <c r="P223" s="51"/>
      <c r="S223" s="51"/>
    </row>
    <row r="224" spans="1:19" hidden="1">
      <c r="A224" s="136">
        <v>4892210238139</v>
      </c>
      <c r="B224" s="51" t="s">
        <v>1045</v>
      </c>
      <c r="C224" s="126" t="s">
        <v>1046</v>
      </c>
      <c r="D224" s="51" t="s">
        <v>1047</v>
      </c>
      <c r="E224" s="51" t="s">
        <v>925</v>
      </c>
      <c r="F224" s="51" t="s">
        <v>1035</v>
      </c>
      <c r="G224" s="127">
        <f>(ProductMaster_iPST_iPower[[#This Row],[SellPrice (Inc. VAT)]]*100)/107</f>
        <v>10269.158878504673</v>
      </c>
      <c r="H224" s="128">
        <v>10988</v>
      </c>
      <c r="I224" s="134" t="s">
        <v>1048</v>
      </c>
      <c r="J224" s="51"/>
      <c r="K224" s="51"/>
      <c r="L224" s="132"/>
      <c r="M224" s="51"/>
      <c r="N224" s="51"/>
      <c r="O224" s="51"/>
      <c r="P224" s="51"/>
      <c r="S224" s="51"/>
    </row>
    <row r="225" spans="1:19" hidden="1">
      <c r="A225" s="133">
        <v>4892210236128</v>
      </c>
      <c r="B225" s="51" t="s">
        <v>1049</v>
      </c>
      <c r="C225" s="126" t="s">
        <v>1050</v>
      </c>
      <c r="D225" s="51" t="s">
        <v>1051</v>
      </c>
      <c r="E225" s="51" t="s">
        <v>925</v>
      </c>
      <c r="F225" s="51" t="s">
        <v>1035</v>
      </c>
      <c r="G225" s="127">
        <f>(ProductMaster_iPST_iPower[[#This Row],[SellPrice (Inc. VAT)]]*100)/107</f>
        <v>7558.8785046728972</v>
      </c>
      <c r="H225" s="128">
        <v>8088</v>
      </c>
      <c r="I225" s="134" t="s">
        <v>1052</v>
      </c>
      <c r="J225" s="51"/>
      <c r="K225" s="51"/>
      <c r="L225" s="132"/>
      <c r="M225" s="51"/>
      <c r="N225" s="51"/>
      <c r="O225" s="51"/>
      <c r="P225" s="51"/>
      <c r="S225" s="51"/>
    </row>
    <row r="226" spans="1:19" hidden="1">
      <c r="A226" s="133">
        <v>4892210180537</v>
      </c>
      <c r="B226" s="51" t="s">
        <v>1053</v>
      </c>
      <c r="C226" s="126" t="s">
        <v>1054</v>
      </c>
      <c r="D226" s="51" t="s">
        <v>1055</v>
      </c>
      <c r="E226" s="51" t="s">
        <v>925</v>
      </c>
      <c r="F226" s="51" t="s">
        <v>1035</v>
      </c>
      <c r="G226" s="127">
        <f>(ProductMaster_iPST_iPower[[#This Row],[SellPrice (Inc. VAT)]]*100)/107</f>
        <v>9334.5794392523367</v>
      </c>
      <c r="H226" s="128">
        <v>9988</v>
      </c>
      <c r="I226" s="134" t="s">
        <v>1056</v>
      </c>
      <c r="J226" s="51"/>
      <c r="K226" s="51"/>
      <c r="L226" s="132"/>
      <c r="M226" s="51"/>
      <c r="N226" s="51"/>
      <c r="O226" s="51"/>
      <c r="P226" s="51"/>
      <c r="S226" s="51"/>
    </row>
    <row r="227" spans="1:19" hidden="1">
      <c r="A227" s="133">
        <v>4892210173058</v>
      </c>
      <c r="B227" s="51" t="s">
        <v>1057</v>
      </c>
      <c r="C227" s="126" t="s">
        <v>1058</v>
      </c>
      <c r="D227" s="51" t="s">
        <v>1059</v>
      </c>
      <c r="E227" s="51" t="s">
        <v>925</v>
      </c>
      <c r="F227" s="51" t="s">
        <v>1035</v>
      </c>
      <c r="G227" s="127">
        <f>(ProductMaster_iPST_iPower[[#This Row],[SellPrice (Inc. VAT)]]*100)/107</f>
        <v>10642.990654205607</v>
      </c>
      <c r="H227" s="128">
        <v>11388</v>
      </c>
      <c r="I227" s="134" t="s">
        <v>1060</v>
      </c>
      <c r="J227" s="51"/>
      <c r="K227" s="51"/>
      <c r="L227" s="132"/>
      <c r="M227" s="51"/>
      <c r="N227" s="51"/>
      <c r="O227" s="51"/>
      <c r="P227" s="51"/>
      <c r="S227" s="51"/>
    </row>
    <row r="228" spans="1:19" hidden="1">
      <c r="A228" s="133"/>
      <c r="B228" s="51" t="s">
        <v>1061</v>
      </c>
      <c r="C228" s="126" t="s">
        <v>1062</v>
      </c>
      <c r="D228" s="51" t="s">
        <v>1063</v>
      </c>
      <c r="E228" s="51" t="s">
        <v>548</v>
      </c>
      <c r="F228" s="51" t="s">
        <v>1064</v>
      </c>
      <c r="G228" s="127">
        <f>(ProductMaster_iPST_iPower[[#This Row],[SellPrice (Inc. VAT)]]*100)/107</f>
        <v>17932.710280373831</v>
      </c>
      <c r="H228" s="128">
        <v>19188</v>
      </c>
      <c r="I228" s="135" t="e">
        <v>#N/A</v>
      </c>
      <c r="J228" s="51"/>
      <c r="K228" s="51"/>
      <c r="L228" s="132"/>
      <c r="M228" s="51"/>
      <c r="N228" s="51"/>
      <c r="O228" s="51"/>
      <c r="P228" s="51"/>
      <c r="S228" s="51"/>
    </row>
    <row r="229" spans="1:19" hidden="1">
      <c r="A229" s="133">
        <v>4892210132253</v>
      </c>
      <c r="B229" s="51" t="s">
        <v>1065</v>
      </c>
      <c r="C229" s="126" t="s">
        <v>1066</v>
      </c>
      <c r="D229" s="51" t="s">
        <v>1067</v>
      </c>
      <c r="E229" s="51" t="s">
        <v>925</v>
      </c>
      <c r="F229" s="51" t="s">
        <v>1064</v>
      </c>
      <c r="G229" s="127">
        <f>(ProductMaster_iPST_iPower[[#This Row],[SellPrice (Inc. VAT)]]*100)/107</f>
        <v>1390.6542056074766</v>
      </c>
      <c r="H229" s="128">
        <v>1488</v>
      </c>
      <c r="I229" s="134" t="s">
        <v>1068</v>
      </c>
      <c r="J229" s="51"/>
      <c r="K229" s="51"/>
      <c r="L229" s="132"/>
      <c r="M229" s="51"/>
      <c r="N229" s="51"/>
      <c r="O229" s="51"/>
      <c r="P229" s="51"/>
      <c r="S229" s="51"/>
    </row>
    <row r="230" spans="1:19" hidden="1">
      <c r="A230" s="133">
        <v>4892210203458</v>
      </c>
      <c r="B230" s="51" t="s">
        <v>1069</v>
      </c>
      <c r="C230" s="126" t="s">
        <v>1070</v>
      </c>
      <c r="D230" s="51" t="s">
        <v>1071</v>
      </c>
      <c r="E230" s="51" t="s">
        <v>925</v>
      </c>
      <c r="F230" s="51" t="s">
        <v>1064</v>
      </c>
      <c r="G230" s="127">
        <f>(ProductMaster_iPST_iPower[[#This Row],[SellPrice (Inc. VAT)]]*100)/107</f>
        <v>2325.233644859813</v>
      </c>
      <c r="H230" s="128">
        <v>2488</v>
      </c>
      <c r="I230" s="134" t="s">
        <v>1072</v>
      </c>
      <c r="J230" s="51"/>
      <c r="K230" s="51"/>
      <c r="L230" s="132"/>
      <c r="M230" s="51"/>
      <c r="N230" s="51"/>
      <c r="O230" s="51"/>
      <c r="P230" s="51"/>
      <c r="S230" s="51"/>
    </row>
    <row r="231" spans="1:19" hidden="1">
      <c r="A231" s="133"/>
      <c r="B231" s="51" t="s">
        <v>1073</v>
      </c>
      <c r="C231" s="126" t="s">
        <v>1074</v>
      </c>
      <c r="D231" s="51" t="s">
        <v>1075</v>
      </c>
      <c r="E231" s="51" t="s">
        <v>925</v>
      </c>
      <c r="F231" s="51" t="s">
        <v>1064</v>
      </c>
      <c r="G231" s="127">
        <f>(ProductMaster_iPST_iPower[[#This Row],[SellPrice (Inc. VAT)]]*100)/107</f>
        <v>2231.7757009345796</v>
      </c>
      <c r="H231" s="128">
        <v>2388</v>
      </c>
      <c r="I231" s="135" t="e">
        <v>#N/A</v>
      </c>
      <c r="J231" s="51"/>
      <c r="K231" s="51"/>
      <c r="L231" s="132"/>
      <c r="M231" s="51"/>
      <c r="N231" s="51"/>
      <c r="O231" s="51"/>
      <c r="P231" s="51"/>
      <c r="S231" s="51"/>
    </row>
    <row r="232" spans="1:19" hidden="1">
      <c r="A232" s="133">
        <v>4892210203441</v>
      </c>
      <c r="B232" s="51" t="s">
        <v>1076</v>
      </c>
      <c r="C232" s="126" t="s">
        <v>1077</v>
      </c>
      <c r="D232" s="51" t="s">
        <v>1078</v>
      </c>
      <c r="E232" s="51" t="s">
        <v>925</v>
      </c>
      <c r="F232" s="51" t="s">
        <v>1064</v>
      </c>
      <c r="G232" s="127">
        <f>(ProductMaster_iPST_iPower[[#This Row],[SellPrice (Inc. VAT)]]*100)/107</f>
        <v>2138.3177570093458</v>
      </c>
      <c r="H232" s="128">
        <v>2288</v>
      </c>
      <c r="I232" s="134" t="s">
        <v>1079</v>
      </c>
      <c r="J232" s="51"/>
      <c r="K232" s="51"/>
      <c r="L232" s="132"/>
      <c r="M232" s="51"/>
      <c r="N232" s="51"/>
      <c r="O232" s="51"/>
      <c r="P232" s="51"/>
      <c r="S232" s="51"/>
    </row>
    <row r="233" spans="1:19" hidden="1">
      <c r="A233" s="133">
        <v>4892210211262</v>
      </c>
      <c r="B233" s="51" t="s">
        <v>1080</v>
      </c>
      <c r="C233" s="126" t="s">
        <v>1081</v>
      </c>
      <c r="D233" s="51" t="s">
        <v>1082</v>
      </c>
      <c r="E233" s="51" t="s">
        <v>925</v>
      </c>
      <c r="F233" s="51" t="s">
        <v>1064</v>
      </c>
      <c r="G233" s="127">
        <f>(ProductMaster_iPST_iPower[[#This Row],[SellPrice (Inc. VAT)]]*100)/107</f>
        <v>2699.0654205607475</v>
      </c>
      <c r="H233" s="128">
        <v>2888</v>
      </c>
      <c r="I233" s="134" t="s">
        <v>1083</v>
      </c>
      <c r="J233" s="51"/>
      <c r="K233" s="51"/>
      <c r="L233" s="132"/>
      <c r="M233" s="51"/>
      <c r="N233" s="51"/>
      <c r="O233" s="51"/>
      <c r="P233" s="51"/>
      <c r="S233" s="51"/>
    </row>
    <row r="234" spans="1:19" hidden="1">
      <c r="A234" s="133">
        <v>4892210223265</v>
      </c>
      <c r="B234" s="51" t="s">
        <v>1084</v>
      </c>
      <c r="C234" s="126" t="s">
        <v>1085</v>
      </c>
      <c r="D234" s="51" t="s">
        <v>1086</v>
      </c>
      <c r="E234" s="51" t="s">
        <v>925</v>
      </c>
      <c r="F234" s="51" t="s">
        <v>1064</v>
      </c>
      <c r="G234" s="127">
        <f>(ProductMaster_iPST_iPower[[#This Row],[SellPrice (Inc. VAT)]]*100)/107</f>
        <v>2699.0654205607475</v>
      </c>
      <c r="H234" s="128">
        <v>2888</v>
      </c>
      <c r="I234" s="134" t="s">
        <v>1087</v>
      </c>
      <c r="J234" s="51"/>
      <c r="K234" s="51"/>
      <c r="L234" s="132"/>
      <c r="M234" s="51"/>
      <c r="N234" s="51"/>
      <c r="O234" s="51"/>
      <c r="P234" s="51"/>
      <c r="S234" s="51"/>
    </row>
    <row r="235" spans="1:19" hidden="1">
      <c r="A235" s="133">
        <v>4892210211019</v>
      </c>
      <c r="B235" s="51" t="s">
        <v>1088</v>
      </c>
      <c r="C235" s="126" t="s">
        <v>1089</v>
      </c>
      <c r="D235" s="51" t="s">
        <v>1090</v>
      </c>
      <c r="E235" s="51" t="s">
        <v>925</v>
      </c>
      <c r="F235" s="51" t="s">
        <v>1064</v>
      </c>
      <c r="G235" s="127">
        <f>(ProductMaster_iPST_iPower[[#This Row],[SellPrice (Inc. VAT)]]*100)/107</f>
        <v>3259.8130841121497</v>
      </c>
      <c r="H235" s="128">
        <v>3488</v>
      </c>
      <c r="I235" s="134" t="s">
        <v>1091</v>
      </c>
      <c r="J235" s="51"/>
      <c r="K235" s="51"/>
      <c r="L235" s="132"/>
      <c r="M235" s="51"/>
      <c r="N235" s="51"/>
      <c r="O235" s="51"/>
      <c r="P235" s="51"/>
      <c r="S235" s="51"/>
    </row>
    <row r="236" spans="1:19" hidden="1">
      <c r="A236" s="133">
        <v>4892210201416</v>
      </c>
      <c r="B236" s="51" t="s">
        <v>1092</v>
      </c>
      <c r="C236" s="126" t="s">
        <v>1093</v>
      </c>
      <c r="D236" s="51" t="s">
        <v>1094</v>
      </c>
      <c r="E236" s="51" t="s">
        <v>925</v>
      </c>
      <c r="F236" s="51" t="s">
        <v>1064</v>
      </c>
      <c r="G236" s="127">
        <f>(ProductMaster_iPST_iPower[[#This Row],[SellPrice (Inc. VAT)]]*100)/107</f>
        <v>3072.8971962616824</v>
      </c>
      <c r="H236" s="128">
        <v>3288</v>
      </c>
      <c r="I236" s="134" t="s">
        <v>1095</v>
      </c>
      <c r="J236" s="51"/>
      <c r="K236" s="51"/>
      <c r="L236" s="132"/>
      <c r="M236" s="51"/>
      <c r="N236" s="51"/>
      <c r="O236" s="51"/>
      <c r="P236" s="51"/>
      <c r="S236" s="51"/>
    </row>
    <row r="237" spans="1:19" hidden="1">
      <c r="A237" s="133">
        <v>4892210130266</v>
      </c>
      <c r="B237" s="51" t="s">
        <v>1096</v>
      </c>
      <c r="C237" s="126" t="s">
        <v>1097</v>
      </c>
      <c r="D237" s="51" t="s">
        <v>1098</v>
      </c>
      <c r="E237" s="51" t="s">
        <v>925</v>
      </c>
      <c r="F237" s="51" t="s">
        <v>1064</v>
      </c>
      <c r="G237" s="127">
        <f>(ProductMaster_iPST_iPower[[#This Row],[SellPrice (Inc. VAT)]]*100)/107</f>
        <v>1110.2803738317757</v>
      </c>
      <c r="H237" s="128">
        <v>1188</v>
      </c>
      <c r="I237" s="134" t="s">
        <v>1099</v>
      </c>
      <c r="J237" s="51"/>
      <c r="K237" s="51"/>
      <c r="L237" s="132"/>
      <c r="M237" s="51"/>
      <c r="N237" s="51"/>
      <c r="O237" s="51"/>
      <c r="P237" s="51"/>
      <c r="S237" s="51"/>
    </row>
    <row r="238" spans="1:19" hidden="1">
      <c r="A238" s="133">
        <v>4892210130273</v>
      </c>
      <c r="B238" s="51" t="s">
        <v>1100</v>
      </c>
      <c r="C238" s="126" t="s">
        <v>1101</v>
      </c>
      <c r="D238" s="51" t="s">
        <v>1102</v>
      </c>
      <c r="E238" s="51" t="s">
        <v>925</v>
      </c>
      <c r="F238" s="51" t="s">
        <v>1064</v>
      </c>
      <c r="G238" s="127">
        <f>(ProductMaster_iPST_iPower[[#This Row],[SellPrice (Inc. VAT)]]*100)/107</f>
        <v>1764.4859813084113</v>
      </c>
      <c r="H238" s="128">
        <v>1888</v>
      </c>
      <c r="I238" s="134" t="s">
        <v>1103</v>
      </c>
      <c r="J238" s="51"/>
      <c r="K238" s="51"/>
      <c r="L238" s="132"/>
      <c r="M238" s="51"/>
      <c r="N238" s="51"/>
      <c r="O238" s="51"/>
      <c r="P238" s="51"/>
      <c r="S238" s="51"/>
    </row>
    <row r="239" spans="1:19" hidden="1">
      <c r="A239" s="133">
        <v>4892210201423</v>
      </c>
      <c r="B239" s="51" t="s">
        <v>1104</v>
      </c>
      <c r="C239" s="126" t="s">
        <v>1105</v>
      </c>
      <c r="D239" s="51" t="s">
        <v>1106</v>
      </c>
      <c r="E239" s="51" t="s">
        <v>925</v>
      </c>
      <c r="F239" s="51" t="s">
        <v>1064</v>
      </c>
      <c r="G239" s="127">
        <f>(ProductMaster_iPST_iPower[[#This Row],[SellPrice (Inc. VAT)]]*100)/107</f>
        <v>3259.8130841121497</v>
      </c>
      <c r="H239" s="128">
        <v>3488</v>
      </c>
      <c r="I239" s="134" t="s">
        <v>1107</v>
      </c>
      <c r="J239" s="51"/>
      <c r="K239" s="51"/>
      <c r="L239" s="132"/>
      <c r="M239" s="51"/>
      <c r="N239" s="51"/>
      <c r="O239" s="51"/>
      <c r="P239" s="51"/>
      <c r="S239" s="51"/>
    </row>
    <row r="240" spans="1:19" hidden="1">
      <c r="A240" s="133">
        <v>4892210223715</v>
      </c>
      <c r="B240" s="51" t="s">
        <v>1108</v>
      </c>
      <c r="C240" s="126" t="s">
        <v>1109</v>
      </c>
      <c r="D240" s="51" t="s">
        <v>1110</v>
      </c>
      <c r="E240" s="51" t="s">
        <v>925</v>
      </c>
      <c r="F240" s="51" t="s">
        <v>1064</v>
      </c>
      <c r="G240" s="127">
        <f>(ProductMaster_iPST_iPower[[#This Row],[SellPrice (Inc. VAT)]]*100)/107</f>
        <v>6998.130841121495</v>
      </c>
      <c r="H240" s="128">
        <v>7488</v>
      </c>
      <c r="I240" s="134" t="s">
        <v>1111</v>
      </c>
      <c r="J240" s="51"/>
      <c r="K240" s="51"/>
      <c r="L240" s="132"/>
      <c r="M240" s="51"/>
      <c r="N240" s="51"/>
      <c r="O240" s="51"/>
      <c r="P240" s="51"/>
      <c r="S240" s="51"/>
    </row>
    <row r="241" spans="1:19" hidden="1">
      <c r="A241" s="133">
        <v>4892210220929</v>
      </c>
      <c r="B241" s="51" t="s">
        <v>1112</v>
      </c>
      <c r="C241" s="126" t="s">
        <v>1113</v>
      </c>
      <c r="D241" s="51" t="s">
        <v>1114</v>
      </c>
      <c r="E241" s="51" t="s">
        <v>925</v>
      </c>
      <c r="F241" s="51" t="s">
        <v>1064</v>
      </c>
      <c r="G241" s="127">
        <f>(ProductMaster_iPST_iPower[[#This Row],[SellPrice (Inc. VAT)]]*100)/107</f>
        <v>3633.6448598130842</v>
      </c>
      <c r="H241" s="128">
        <v>3888</v>
      </c>
      <c r="I241" s="134" t="s">
        <v>1115</v>
      </c>
      <c r="J241" s="51"/>
      <c r="K241" s="51"/>
      <c r="L241" s="132"/>
      <c r="M241" s="51"/>
      <c r="N241" s="51"/>
      <c r="O241" s="51"/>
      <c r="P241" s="51"/>
      <c r="S241" s="51"/>
    </row>
    <row r="242" spans="1:19" hidden="1">
      <c r="A242" s="133" t="s">
        <v>1116</v>
      </c>
      <c r="B242" s="51" t="s">
        <v>1116</v>
      </c>
      <c r="C242" s="126" t="s">
        <v>1117</v>
      </c>
      <c r="D242" s="51" t="s">
        <v>1118</v>
      </c>
      <c r="E242" s="51" t="s">
        <v>925</v>
      </c>
      <c r="F242" s="51" t="s">
        <v>1064</v>
      </c>
      <c r="G242" s="127">
        <f>(ProductMaster_iPST_iPower[[#This Row],[SellPrice (Inc. VAT)]]*100)/107</f>
        <v>7745.7943925233649</v>
      </c>
      <c r="H242" s="128">
        <v>8288</v>
      </c>
      <c r="I242" s="134" t="s">
        <v>1119</v>
      </c>
      <c r="J242" s="51"/>
      <c r="K242" s="51"/>
      <c r="L242" s="132"/>
      <c r="M242" s="51"/>
      <c r="N242" s="51"/>
      <c r="O242" s="51"/>
      <c r="P242" s="51"/>
      <c r="S242" s="51"/>
    </row>
    <row r="243" spans="1:19" hidden="1">
      <c r="A243" s="133">
        <v>4892210174987</v>
      </c>
      <c r="B243" s="51" t="s">
        <v>1120</v>
      </c>
      <c r="C243" s="126" t="s">
        <v>1121</v>
      </c>
      <c r="D243" s="51" t="s">
        <v>1122</v>
      </c>
      <c r="E243" s="51" t="s">
        <v>925</v>
      </c>
      <c r="F243" s="51" t="s">
        <v>1064</v>
      </c>
      <c r="G243" s="127">
        <f>(ProductMaster_iPST_iPower[[#This Row],[SellPrice (Inc. VAT)]]*100)/107</f>
        <v>6811.2149532710282</v>
      </c>
      <c r="H243" s="128">
        <v>7288</v>
      </c>
      <c r="I243" s="134" t="s">
        <v>1123</v>
      </c>
      <c r="J243" s="51"/>
      <c r="K243" s="51"/>
      <c r="L243" s="132"/>
      <c r="M243" s="51"/>
      <c r="N243" s="51"/>
      <c r="O243" s="51"/>
      <c r="P243" s="51"/>
      <c r="S243" s="51"/>
    </row>
    <row r="244" spans="1:19" hidden="1">
      <c r="A244" s="133">
        <v>4892210135186</v>
      </c>
      <c r="B244" s="51" t="s">
        <v>1124</v>
      </c>
      <c r="C244" s="126" t="s">
        <v>1125</v>
      </c>
      <c r="D244" s="51" t="s">
        <v>1126</v>
      </c>
      <c r="E244" s="51" t="s">
        <v>925</v>
      </c>
      <c r="F244" s="51" t="s">
        <v>1064</v>
      </c>
      <c r="G244" s="127">
        <f>(ProductMaster_iPST_iPower[[#This Row],[SellPrice (Inc. VAT)]]*100)/107</f>
        <v>3166.3551401869158</v>
      </c>
      <c r="H244" s="128">
        <v>3388</v>
      </c>
      <c r="I244" s="134" t="s">
        <v>1127</v>
      </c>
      <c r="J244" s="51"/>
      <c r="K244" s="51"/>
      <c r="L244" s="132"/>
      <c r="M244" s="51"/>
      <c r="N244" s="51"/>
      <c r="O244" s="51"/>
      <c r="P244" s="51"/>
      <c r="S244" s="51"/>
    </row>
    <row r="245" spans="1:19" hidden="1">
      <c r="A245" s="133">
        <v>4892210159175</v>
      </c>
      <c r="B245" s="51" t="s">
        <v>1128</v>
      </c>
      <c r="C245" s="126" t="s">
        <v>1129</v>
      </c>
      <c r="D245" s="51" t="s">
        <v>1130</v>
      </c>
      <c r="E245" s="51" t="s">
        <v>925</v>
      </c>
      <c r="F245" s="51" t="s">
        <v>1064</v>
      </c>
      <c r="G245" s="127">
        <f>(ProductMaster_iPST_iPower[[#This Row],[SellPrice (Inc. VAT)]]*100)/107</f>
        <v>6764.4859813084113</v>
      </c>
      <c r="H245" s="128">
        <v>7238</v>
      </c>
      <c r="I245" s="134" t="s">
        <v>1131</v>
      </c>
      <c r="J245" s="51"/>
      <c r="K245" s="51"/>
      <c r="L245" s="132"/>
      <c r="M245" s="51"/>
      <c r="N245" s="51"/>
      <c r="O245" s="51"/>
      <c r="P245" s="51"/>
      <c r="S245" s="51"/>
    </row>
    <row r="246" spans="1:19" hidden="1">
      <c r="A246" s="133">
        <v>4892210135179</v>
      </c>
      <c r="B246" s="51" t="s">
        <v>1132</v>
      </c>
      <c r="C246" s="126" t="s">
        <v>1133</v>
      </c>
      <c r="D246" s="51" t="s">
        <v>1134</v>
      </c>
      <c r="E246" s="51" t="s">
        <v>925</v>
      </c>
      <c r="F246" s="51" t="s">
        <v>1064</v>
      </c>
      <c r="G246" s="127">
        <f>(ProductMaster_iPST_iPower[[#This Row],[SellPrice (Inc. VAT)]]*100)/107</f>
        <v>4661.6822429906542</v>
      </c>
      <c r="H246" s="128">
        <v>4988</v>
      </c>
      <c r="I246" s="134" t="s">
        <v>1135</v>
      </c>
      <c r="J246" s="51"/>
      <c r="K246" s="51"/>
      <c r="L246" s="132"/>
      <c r="M246" s="51"/>
      <c r="N246" s="51"/>
      <c r="O246" s="51"/>
      <c r="P246" s="51"/>
      <c r="S246" s="51"/>
    </row>
    <row r="247" spans="1:19" hidden="1">
      <c r="A247" s="133">
        <v>4892210198334</v>
      </c>
      <c r="B247" s="51" t="s">
        <v>1136</v>
      </c>
      <c r="C247" s="126" t="s">
        <v>1137</v>
      </c>
      <c r="D247" s="51" t="s">
        <v>1138</v>
      </c>
      <c r="E247" s="51" t="s">
        <v>925</v>
      </c>
      <c r="F247" s="51" t="s">
        <v>1064</v>
      </c>
      <c r="G247" s="127">
        <f>(ProductMaster_iPST_iPower[[#This Row],[SellPrice (Inc. VAT)]]*100)/107</f>
        <v>15783.177570093458</v>
      </c>
      <c r="H247" s="128">
        <v>16888</v>
      </c>
      <c r="I247" s="134" t="s">
        <v>1139</v>
      </c>
      <c r="J247" s="51"/>
      <c r="K247" s="51"/>
      <c r="L247" s="132"/>
      <c r="M247" s="51"/>
      <c r="N247" s="51"/>
      <c r="O247" s="51"/>
      <c r="P247" s="51"/>
      <c r="S247" s="51"/>
    </row>
    <row r="248" spans="1:19" hidden="1">
      <c r="A248" s="133">
        <v>4892210214065</v>
      </c>
      <c r="B248" s="51" t="s">
        <v>1140</v>
      </c>
      <c r="C248" s="126" t="s">
        <v>1141</v>
      </c>
      <c r="D248" s="51" t="s">
        <v>1142</v>
      </c>
      <c r="E248" s="51" t="s">
        <v>925</v>
      </c>
      <c r="F248" s="51" t="s">
        <v>1064</v>
      </c>
      <c r="G248" s="127">
        <f>(ProductMaster_iPST_iPower[[#This Row],[SellPrice (Inc. VAT)]]*100)/107</f>
        <v>4007.4766355140187</v>
      </c>
      <c r="H248" s="128">
        <v>4288</v>
      </c>
      <c r="I248" s="134" t="s">
        <v>1143</v>
      </c>
      <c r="J248" s="51"/>
      <c r="K248" s="51"/>
      <c r="L248" s="132"/>
      <c r="M248" s="51"/>
      <c r="N248" s="51"/>
      <c r="O248" s="51"/>
      <c r="P248" s="51"/>
      <c r="S248" s="51"/>
    </row>
    <row r="249" spans="1:19" hidden="1">
      <c r="A249" s="133">
        <v>4892210227836</v>
      </c>
      <c r="B249" s="51" t="s">
        <v>1144</v>
      </c>
      <c r="C249" s="126" t="s">
        <v>1145</v>
      </c>
      <c r="D249" s="51" t="s">
        <v>1146</v>
      </c>
      <c r="E249" s="51" t="s">
        <v>925</v>
      </c>
      <c r="F249" s="51" t="s">
        <v>1064</v>
      </c>
      <c r="G249" s="127">
        <f>(ProductMaster_iPST_iPower[[#This Row],[SellPrice (Inc. VAT)]]*100)/107</f>
        <v>6811.2149532710282</v>
      </c>
      <c r="H249" s="128">
        <v>7288</v>
      </c>
      <c r="I249" s="134" t="s">
        <v>1147</v>
      </c>
      <c r="J249" s="51"/>
      <c r="K249" s="51"/>
      <c r="L249" s="132"/>
      <c r="M249" s="51"/>
      <c r="N249" s="51"/>
      <c r="O249" s="51"/>
      <c r="P249" s="51"/>
      <c r="S249" s="51"/>
    </row>
    <row r="250" spans="1:19" hidden="1">
      <c r="A250" s="133"/>
      <c r="B250" s="51" t="s">
        <v>1148</v>
      </c>
      <c r="C250" s="126" t="s">
        <v>1149</v>
      </c>
      <c r="D250" s="51" t="s">
        <v>1150</v>
      </c>
      <c r="E250" s="51" t="s">
        <v>925</v>
      </c>
      <c r="F250" s="51" t="s">
        <v>1064</v>
      </c>
      <c r="G250" s="127">
        <f>(ProductMaster_iPST_iPower[[#This Row],[SellPrice (Inc. VAT)]]*100)/107</f>
        <v>9334.5794392523367</v>
      </c>
      <c r="H250" s="128">
        <v>9988</v>
      </c>
      <c r="I250" s="135" t="e">
        <v>#N/A</v>
      </c>
      <c r="J250" s="51"/>
      <c r="K250" s="51"/>
      <c r="L250" s="132"/>
      <c r="M250" s="51"/>
      <c r="N250" s="51"/>
      <c r="O250" s="51"/>
      <c r="P250" s="51"/>
      <c r="S250" s="51"/>
    </row>
    <row r="251" spans="1:19" hidden="1">
      <c r="A251" s="133">
        <v>4892210182531</v>
      </c>
      <c r="B251" s="51" t="s">
        <v>1151</v>
      </c>
      <c r="C251" s="126" t="s">
        <v>1152</v>
      </c>
      <c r="D251" s="51" t="s">
        <v>1153</v>
      </c>
      <c r="E251" s="51" t="s">
        <v>925</v>
      </c>
      <c r="F251" s="51" t="s">
        <v>1064</v>
      </c>
      <c r="G251" s="127">
        <f>(ProductMaster_iPST_iPower[[#This Row],[SellPrice (Inc. VAT)]]*100)/107</f>
        <v>5689.7196261682247</v>
      </c>
      <c r="H251" s="128">
        <v>6088</v>
      </c>
      <c r="I251" s="134" t="s">
        <v>1154</v>
      </c>
      <c r="J251" s="51"/>
      <c r="K251" s="51"/>
      <c r="L251" s="132"/>
      <c r="M251" s="51"/>
      <c r="N251" s="51"/>
      <c r="O251" s="51"/>
      <c r="P251" s="51"/>
      <c r="S251" s="51"/>
    </row>
    <row r="252" spans="1:19" hidden="1">
      <c r="A252" s="133">
        <v>4892210185983</v>
      </c>
      <c r="B252" s="51" t="s">
        <v>1155</v>
      </c>
      <c r="C252" s="126" t="s">
        <v>1156</v>
      </c>
      <c r="D252" s="51" t="s">
        <v>1157</v>
      </c>
      <c r="E252" s="51" t="s">
        <v>925</v>
      </c>
      <c r="F252" s="51" t="s">
        <v>1064</v>
      </c>
      <c r="G252" s="127">
        <f>(ProductMaster_iPST_iPower[[#This Row],[SellPrice (Inc. VAT)]]*100)/107</f>
        <v>8026.1682242990655</v>
      </c>
      <c r="H252" s="128">
        <v>8588</v>
      </c>
      <c r="I252" s="134" t="s">
        <v>1158</v>
      </c>
      <c r="J252" s="51"/>
      <c r="K252" s="51"/>
      <c r="L252" s="132"/>
      <c r="M252" s="51"/>
      <c r="N252" s="51"/>
      <c r="O252" s="51"/>
      <c r="P252" s="51"/>
      <c r="S252" s="51"/>
    </row>
    <row r="253" spans="1:19" hidden="1">
      <c r="A253" s="133">
        <v>4892210187239</v>
      </c>
      <c r="B253" s="51" t="s">
        <v>1159</v>
      </c>
      <c r="C253" s="126" t="s">
        <v>1160</v>
      </c>
      <c r="D253" s="51" t="s">
        <v>1161</v>
      </c>
      <c r="E253" s="51" t="s">
        <v>925</v>
      </c>
      <c r="F253" s="51" t="s">
        <v>1064</v>
      </c>
      <c r="G253" s="127">
        <f>(ProductMaster_iPST_iPower[[#This Row],[SellPrice (Inc. VAT)]]*100)/107</f>
        <v>5502.8037383177571</v>
      </c>
      <c r="H253" s="128">
        <v>5888</v>
      </c>
      <c r="I253" s="134" t="s">
        <v>1162</v>
      </c>
      <c r="J253" s="51"/>
      <c r="K253" s="51"/>
      <c r="L253" s="132"/>
      <c r="M253" s="51"/>
      <c r="N253" s="51"/>
      <c r="O253" s="51"/>
      <c r="P253" s="51"/>
      <c r="S253" s="51"/>
    </row>
    <row r="254" spans="1:19" hidden="1">
      <c r="A254" s="133">
        <v>4892210189578</v>
      </c>
      <c r="B254" s="51" t="s">
        <v>1163</v>
      </c>
      <c r="C254" s="126" t="s">
        <v>1164</v>
      </c>
      <c r="D254" s="51" t="s">
        <v>1165</v>
      </c>
      <c r="E254" s="51" t="s">
        <v>925</v>
      </c>
      <c r="F254" s="51" t="s">
        <v>1064</v>
      </c>
      <c r="G254" s="127">
        <f>(ProductMaster_iPST_iPower[[#This Row],[SellPrice (Inc. VAT)]]*100)/107</f>
        <v>5315.8878504672894</v>
      </c>
      <c r="H254" s="128">
        <v>5688</v>
      </c>
      <c r="I254" s="134" t="s">
        <v>1166</v>
      </c>
      <c r="J254" s="51"/>
      <c r="K254" s="51"/>
      <c r="L254" s="132"/>
      <c r="M254" s="51"/>
      <c r="N254" s="51"/>
      <c r="O254" s="51"/>
      <c r="P254" s="51"/>
      <c r="S254" s="51"/>
    </row>
    <row r="255" spans="1:19" hidden="1">
      <c r="A255" s="133">
        <v>4892210199430</v>
      </c>
      <c r="B255" s="51" t="s">
        <v>1167</v>
      </c>
      <c r="C255" s="126" t="s">
        <v>1168</v>
      </c>
      <c r="D255" s="51" t="s">
        <v>1169</v>
      </c>
      <c r="E255" s="51" t="s">
        <v>925</v>
      </c>
      <c r="F255" s="51" t="s">
        <v>1064</v>
      </c>
      <c r="G255" s="127">
        <f>(ProductMaster_iPST_iPower[[#This Row],[SellPrice (Inc. VAT)]]*100)/107</f>
        <v>5502.8037383177571</v>
      </c>
      <c r="H255" s="128">
        <v>5888</v>
      </c>
      <c r="I255" s="134" t="s">
        <v>1170</v>
      </c>
      <c r="J255" s="51"/>
      <c r="K255" s="51"/>
      <c r="L255" s="132"/>
      <c r="M255" s="51"/>
      <c r="N255" s="51"/>
      <c r="O255" s="51"/>
      <c r="P255" s="51"/>
      <c r="S255" s="51"/>
    </row>
    <row r="256" spans="1:19" hidden="1">
      <c r="A256" s="133">
        <v>4892210199447</v>
      </c>
      <c r="B256" s="51" t="s">
        <v>1171</v>
      </c>
      <c r="C256" s="126" t="s">
        <v>1172</v>
      </c>
      <c r="D256" s="51" t="s">
        <v>1173</v>
      </c>
      <c r="E256" s="51" t="s">
        <v>925</v>
      </c>
      <c r="F256" s="51" t="s">
        <v>1064</v>
      </c>
      <c r="G256" s="127">
        <f>(ProductMaster_iPST_iPower[[#This Row],[SellPrice (Inc. VAT)]]*100)/107</f>
        <v>5783.1775700934577</v>
      </c>
      <c r="H256" s="128">
        <v>6188</v>
      </c>
      <c r="I256" s="134" t="s">
        <v>1174</v>
      </c>
      <c r="J256" s="51"/>
      <c r="K256" s="51"/>
      <c r="L256" s="132"/>
      <c r="M256" s="51"/>
      <c r="N256" s="51"/>
      <c r="O256" s="51"/>
      <c r="P256" s="51"/>
      <c r="S256" s="51"/>
    </row>
    <row r="257" spans="1:19" hidden="1">
      <c r="A257" s="133">
        <v>4892210195234</v>
      </c>
      <c r="B257" s="51" t="s">
        <v>1175</v>
      </c>
      <c r="C257" s="126" t="s">
        <v>1176</v>
      </c>
      <c r="D257" s="51" t="s">
        <v>1177</v>
      </c>
      <c r="E257" s="51" t="s">
        <v>925</v>
      </c>
      <c r="F257" s="51" t="s">
        <v>1064</v>
      </c>
      <c r="G257" s="127">
        <f>(ProductMaster_iPST_iPower[[#This Row],[SellPrice (Inc. VAT)]]*100)/107</f>
        <v>6717.7570093457944</v>
      </c>
      <c r="H257" s="128">
        <v>7188</v>
      </c>
      <c r="I257" s="134" t="s">
        <v>1178</v>
      </c>
      <c r="J257" s="51"/>
      <c r="K257" s="51"/>
      <c r="L257" s="132"/>
      <c r="M257" s="51"/>
      <c r="N257" s="51"/>
      <c r="O257" s="51"/>
      <c r="P257" s="51"/>
      <c r="S257" s="51"/>
    </row>
    <row r="258" spans="1:19" hidden="1">
      <c r="A258" s="133">
        <v>4892210215499</v>
      </c>
      <c r="B258" s="51" t="s">
        <v>1179</v>
      </c>
      <c r="C258" s="126" t="s">
        <v>1180</v>
      </c>
      <c r="D258" s="51" t="s">
        <v>1181</v>
      </c>
      <c r="E258" s="51" t="s">
        <v>925</v>
      </c>
      <c r="F258" s="51" t="s">
        <v>1064</v>
      </c>
      <c r="G258" s="127">
        <f>(ProductMaster_iPST_iPower[[#This Row],[SellPrice (Inc. VAT)]]*100)/107</f>
        <v>4568.2242990654204</v>
      </c>
      <c r="H258" s="128">
        <v>4888</v>
      </c>
      <c r="I258" s="134" t="s">
        <v>1182</v>
      </c>
      <c r="J258" s="51"/>
      <c r="K258" s="51"/>
      <c r="L258" s="132"/>
      <c r="M258" s="51"/>
      <c r="N258" s="51"/>
      <c r="O258" s="51"/>
      <c r="P258" s="51"/>
      <c r="S258" s="51"/>
    </row>
    <row r="259" spans="1:19" hidden="1">
      <c r="A259" s="133">
        <v>4892210219831</v>
      </c>
      <c r="B259" s="51" t="s">
        <v>1183</v>
      </c>
      <c r="C259" s="126" t="s">
        <v>1184</v>
      </c>
      <c r="D259" s="51" t="s">
        <v>1185</v>
      </c>
      <c r="E259" s="51" t="s">
        <v>925</v>
      </c>
      <c r="F259" s="51" t="s">
        <v>1064</v>
      </c>
      <c r="G259" s="127">
        <f>(ProductMaster_iPST_iPower[[#This Row],[SellPrice (Inc. VAT)]]*100)/107</f>
        <v>4231.7757009345796</v>
      </c>
      <c r="H259" s="128">
        <v>4528</v>
      </c>
      <c r="I259" s="134" t="s">
        <v>1186</v>
      </c>
      <c r="J259" s="51"/>
      <c r="K259" s="51"/>
      <c r="L259" s="132"/>
      <c r="M259" s="51"/>
      <c r="N259" s="51"/>
      <c r="O259" s="51"/>
      <c r="P259" s="51"/>
      <c r="S259" s="51"/>
    </row>
    <row r="260" spans="1:19" hidden="1">
      <c r="A260" s="133">
        <v>4892210163462</v>
      </c>
      <c r="B260" s="51" t="s">
        <v>1187</v>
      </c>
      <c r="C260" s="126" t="s">
        <v>1188</v>
      </c>
      <c r="D260" s="51" t="s">
        <v>1189</v>
      </c>
      <c r="E260" s="51" t="s">
        <v>925</v>
      </c>
      <c r="F260" s="51" t="s">
        <v>1064</v>
      </c>
      <c r="G260" s="127">
        <f>(ProductMaster_iPST_iPower[[#This Row],[SellPrice (Inc. VAT)]]*100)/107</f>
        <v>5970.0934579439254</v>
      </c>
      <c r="H260" s="128">
        <v>6388</v>
      </c>
      <c r="I260" s="134" t="s">
        <v>1190</v>
      </c>
      <c r="J260" s="51"/>
      <c r="K260" s="51"/>
      <c r="L260" s="132"/>
      <c r="M260" s="51"/>
      <c r="N260" s="51"/>
      <c r="O260" s="51"/>
      <c r="P260" s="51"/>
      <c r="S260" s="51"/>
    </row>
    <row r="261" spans="1:19" hidden="1">
      <c r="A261" s="133">
        <v>4892210163479</v>
      </c>
      <c r="B261" s="51" t="s">
        <v>1191</v>
      </c>
      <c r="C261" s="126" t="s">
        <v>1192</v>
      </c>
      <c r="D261" s="51" t="s">
        <v>1173</v>
      </c>
      <c r="E261" s="51" t="s">
        <v>925</v>
      </c>
      <c r="F261" s="51" t="s">
        <v>1064</v>
      </c>
      <c r="G261" s="127">
        <f>(ProductMaster_iPST_iPower[[#This Row],[SellPrice (Inc. VAT)]]*100)/107</f>
        <v>5783.1775700934577</v>
      </c>
      <c r="H261" s="128">
        <v>6188</v>
      </c>
      <c r="I261" s="134" t="s">
        <v>1193</v>
      </c>
      <c r="J261" s="51"/>
      <c r="K261" s="51"/>
      <c r="L261" s="132"/>
      <c r="M261" s="51"/>
      <c r="N261" s="51"/>
      <c r="O261" s="51"/>
      <c r="P261" s="51"/>
      <c r="S261" s="51"/>
    </row>
    <row r="262" spans="1:19" hidden="1">
      <c r="A262" s="133">
        <v>4892210174840</v>
      </c>
      <c r="B262" s="51" t="s">
        <v>1194</v>
      </c>
      <c r="C262" s="126" t="s">
        <v>1195</v>
      </c>
      <c r="D262" s="51" t="s">
        <v>1196</v>
      </c>
      <c r="E262" s="51" t="s">
        <v>925</v>
      </c>
      <c r="F262" s="51" t="s">
        <v>1064</v>
      </c>
      <c r="G262" s="127">
        <f>(ProductMaster_iPST_iPower[[#This Row],[SellPrice (Inc. VAT)]]*100)/107</f>
        <v>5596.2616822429909</v>
      </c>
      <c r="H262" s="128">
        <v>5988</v>
      </c>
      <c r="I262" s="134" t="s">
        <v>1197</v>
      </c>
      <c r="J262" s="51"/>
      <c r="K262" s="51"/>
      <c r="L262" s="132"/>
      <c r="M262" s="51"/>
      <c r="N262" s="51"/>
      <c r="O262" s="51"/>
      <c r="P262" s="51"/>
      <c r="S262" s="51"/>
    </row>
    <row r="263" spans="1:19" hidden="1">
      <c r="A263" s="133">
        <v>4892210215413</v>
      </c>
      <c r="B263" s="51" t="s">
        <v>1198</v>
      </c>
      <c r="C263" s="126" t="s">
        <v>1199</v>
      </c>
      <c r="D263" s="51" t="s">
        <v>1200</v>
      </c>
      <c r="E263" s="51" t="s">
        <v>925</v>
      </c>
      <c r="F263" s="51" t="s">
        <v>1064</v>
      </c>
      <c r="G263" s="127">
        <f>(ProductMaster_iPST_iPower[[#This Row],[SellPrice (Inc. VAT)]]*100)/107</f>
        <v>8400</v>
      </c>
      <c r="H263" s="128">
        <v>8988</v>
      </c>
      <c r="I263" s="134" t="s">
        <v>1201</v>
      </c>
      <c r="J263" s="51"/>
      <c r="K263" s="51"/>
      <c r="L263" s="132"/>
      <c r="M263" s="51"/>
      <c r="N263" s="51"/>
      <c r="O263" s="51"/>
      <c r="P263" s="51"/>
      <c r="S263" s="51"/>
    </row>
    <row r="264" spans="1:19" hidden="1">
      <c r="A264" s="133">
        <v>4892210219978</v>
      </c>
      <c r="B264" s="51" t="s">
        <v>1202</v>
      </c>
      <c r="C264" s="126" t="s">
        <v>1203</v>
      </c>
      <c r="D264" s="51" t="s">
        <v>1204</v>
      </c>
      <c r="E264" s="51" t="s">
        <v>925</v>
      </c>
      <c r="F264" s="51" t="s">
        <v>1064</v>
      </c>
      <c r="G264" s="127">
        <f>(ProductMaster_iPST_iPower[[#This Row],[SellPrice (Inc. VAT)]]*100)/107</f>
        <v>4708.4112149532712</v>
      </c>
      <c r="H264" s="128">
        <v>5038</v>
      </c>
      <c r="I264" s="134" t="s">
        <v>1205</v>
      </c>
      <c r="J264" s="51"/>
      <c r="K264" s="51"/>
      <c r="L264" s="132"/>
      <c r="M264" s="51"/>
      <c r="N264" s="51"/>
      <c r="O264" s="51"/>
      <c r="P264" s="51"/>
      <c r="S264" s="51"/>
    </row>
    <row r="265" spans="1:19" hidden="1">
      <c r="A265" s="133"/>
      <c r="B265" s="51" t="s">
        <v>1206</v>
      </c>
      <c r="C265" s="126" t="s">
        <v>1207</v>
      </c>
      <c r="D265" s="51" t="s">
        <v>1208</v>
      </c>
      <c r="E265" s="51" t="s">
        <v>925</v>
      </c>
      <c r="F265" s="51" t="s">
        <v>1064</v>
      </c>
      <c r="G265" s="127">
        <f>(ProductMaster_iPST_iPower[[#This Row],[SellPrice (Inc. VAT)]]*100)/107</f>
        <v>8493.4579439252338</v>
      </c>
      <c r="H265" s="128">
        <v>9088</v>
      </c>
      <c r="I265" s="135" t="e">
        <v>#N/A</v>
      </c>
      <c r="J265" s="51"/>
      <c r="K265" s="51"/>
      <c r="L265" s="132"/>
      <c r="M265" s="51"/>
      <c r="N265" s="51"/>
      <c r="O265" s="51"/>
      <c r="P265" s="51"/>
      <c r="S265" s="51"/>
    </row>
    <row r="266" spans="1:19" hidden="1">
      <c r="A266" s="133">
        <v>4892210182494</v>
      </c>
      <c r="B266" s="51" t="s">
        <v>1209</v>
      </c>
      <c r="C266" s="126" t="s">
        <v>1210</v>
      </c>
      <c r="D266" s="51" t="s">
        <v>1211</v>
      </c>
      <c r="E266" s="51" t="s">
        <v>925</v>
      </c>
      <c r="F266" s="51" t="s">
        <v>1064</v>
      </c>
      <c r="G266" s="127">
        <f>(ProductMaster_iPST_iPower[[#This Row],[SellPrice (Inc. VAT)]]*100)/107</f>
        <v>5970.0934579439254</v>
      </c>
      <c r="H266" s="128">
        <v>6388</v>
      </c>
      <c r="I266" s="134" t="s">
        <v>1212</v>
      </c>
      <c r="J266" s="51"/>
      <c r="K266" s="51"/>
      <c r="L266" s="132"/>
      <c r="M266" s="51"/>
      <c r="N266" s="51"/>
      <c r="O266" s="51"/>
      <c r="P266" s="51"/>
      <c r="S266" s="51"/>
    </row>
    <row r="267" spans="1:19" hidden="1">
      <c r="A267" s="133">
        <v>4892210190024</v>
      </c>
      <c r="B267" s="51" t="s">
        <v>1213</v>
      </c>
      <c r="C267" s="126" t="s">
        <v>1214</v>
      </c>
      <c r="D267" s="51" t="s">
        <v>1215</v>
      </c>
      <c r="E267" s="51" t="s">
        <v>925</v>
      </c>
      <c r="F267" s="51" t="s">
        <v>1064</v>
      </c>
      <c r="G267" s="127">
        <f>(ProductMaster_iPST_iPower[[#This Row],[SellPrice (Inc. VAT)]]*100)/107</f>
        <v>6343.9252336448599</v>
      </c>
      <c r="H267" s="128">
        <v>6788</v>
      </c>
      <c r="I267" s="134" t="s">
        <v>1216</v>
      </c>
      <c r="J267" s="51"/>
      <c r="K267" s="51"/>
      <c r="L267" s="132"/>
      <c r="M267" s="51"/>
      <c r="N267" s="51"/>
      <c r="O267" s="51"/>
      <c r="P267" s="51"/>
      <c r="S267" s="51"/>
    </row>
    <row r="268" spans="1:19" hidden="1">
      <c r="A268" s="133">
        <v>4892210195708</v>
      </c>
      <c r="B268" s="51" t="s">
        <v>1217</v>
      </c>
      <c r="C268" s="126" t="s">
        <v>1218</v>
      </c>
      <c r="D268" s="51" t="s">
        <v>1219</v>
      </c>
      <c r="E268" s="51" t="s">
        <v>925</v>
      </c>
      <c r="F268" s="51" t="s">
        <v>1064</v>
      </c>
      <c r="G268" s="127">
        <f>(ProductMaster_iPST_iPower[[#This Row],[SellPrice (Inc. VAT)]]*100)/107</f>
        <v>6998.130841121495</v>
      </c>
      <c r="H268" s="128">
        <v>7488</v>
      </c>
      <c r="I268" s="134" t="s">
        <v>1220</v>
      </c>
      <c r="J268" s="51"/>
      <c r="K268" s="51"/>
      <c r="L268" s="132"/>
      <c r="M268" s="51"/>
      <c r="N268" s="51"/>
      <c r="O268" s="51"/>
      <c r="P268" s="51"/>
      <c r="S268" s="51"/>
    </row>
    <row r="269" spans="1:19" hidden="1">
      <c r="A269" s="133">
        <v>4892210194770</v>
      </c>
      <c r="B269" s="51" t="s">
        <v>1221</v>
      </c>
      <c r="C269" s="126" t="s">
        <v>1222</v>
      </c>
      <c r="D269" s="51" t="s">
        <v>1223</v>
      </c>
      <c r="E269" s="51" t="s">
        <v>925</v>
      </c>
      <c r="F269" s="51" t="s">
        <v>1064</v>
      </c>
      <c r="G269" s="127">
        <f>(ProductMaster_iPST_iPower[[#This Row],[SellPrice (Inc. VAT)]]*100)/107</f>
        <v>6063.5514018691592</v>
      </c>
      <c r="H269" s="128">
        <v>6488</v>
      </c>
      <c r="I269" s="134" t="s">
        <v>1224</v>
      </c>
      <c r="J269" s="51"/>
      <c r="K269" s="51"/>
      <c r="L269" s="132"/>
      <c r="M269" s="51"/>
      <c r="N269" s="51"/>
      <c r="O269" s="51"/>
      <c r="P269" s="51"/>
      <c r="S269" s="51"/>
    </row>
    <row r="270" spans="1:19" hidden="1">
      <c r="A270" s="133">
        <v>4892210220677</v>
      </c>
      <c r="B270" s="51" t="s">
        <v>1225</v>
      </c>
      <c r="C270" s="126" t="s">
        <v>1226</v>
      </c>
      <c r="D270" s="51" t="s">
        <v>1227</v>
      </c>
      <c r="E270" s="51" t="s">
        <v>925</v>
      </c>
      <c r="F270" s="51" t="s">
        <v>1064</v>
      </c>
      <c r="G270" s="127">
        <f>(ProductMaster_iPST_iPower[[#This Row],[SellPrice (Inc. VAT)]]*100)/107</f>
        <v>2325.233644859813</v>
      </c>
      <c r="H270" s="128">
        <v>2488</v>
      </c>
      <c r="I270" s="134" t="s">
        <v>1228</v>
      </c>
      <c r="J270" s="51"/>
      <c r="K270" s="51"/>
      <c r="L270" s="132"/>
      <c r="M270" s="51"/>
      <c r="N270" s="51"/>
      <c r="O270" s="51"/>
      <c r="P270" s="51"/>
      <c r="S270" s="51"/>
    </row>
    <row r="271" spans="1:19" hidden="1">
      <c r="A271" s="133">
        <v>4892210193032</v>
      </c>
      <c r="B271" s="51" t="s">
        <v>1229</v>
      </c>
      <c r="C271" s="126" t="s">
        <v>1230</v>
      </c>
      <c r="D271" s="51" t="s">
        <v>1231</v>
      </c>
      <c r="E271" s="51" t="s">
        <v>925</v>
      </c>
      <c r="F271" s="51" t="s">
        <v>1064</v>
      </c>
      <c r="G271" s="127">
        <f>(ProductMaster_iPST_iPower[[#This Row],[SellPrice (Inc. VAT)]]*100)/107</f>
        <v>2885.9813084112147</v>
      </c>
      <c r="H271" s="128">
        <v>3088</v>
      </c>
      <c r="I271" s="134" t="s">
        <v>1232</v>
      </c>
      <c r="J271" s="51"/>
      <c r="K271" s="51"/>
      <c r="L271" s="132"/>
      <c r="M271" s="51"/>
      <c r="N271" s="51"/>
      <c r="O271" s="51"/>
      <c r="P271" s="51"/>
      <c r="S271" s="51"/>
    </row>
    <row r="272" spans="1:19" hidden="1">
      <c r="A272" s="133">
        <v>4892210188496</v>
      </c>
      <c r="B272" s="51" t="s">
        <v>1233</v>
      </c>
      <c r="C272" s="126" t="s">
        <v>1234</v>
      </c>
      <c r="D272" s="51" t="s">
        <v>1235</v>
      </c>
      <c r="E272" s="51" t="s">
        <v>925</v>
      </c>
      <c r="F272" s="51" t="s">
        <v>1064</v>
      </c>
      <c r="G272" s="127">
        <f>(ProductMaster_iPST_iPower[[#This Row],[SellPrice (Inc. VAT)]]*100)/107</f>
        <v>28400</v>
      </c>
      <c r="H272" s="128">
        <v>30388</v>
      </c>
      <c r="I272" s="134" t="s">
        <v>1236</v>
      </c>
      <c r="J272" s="51"/>
      <c r="K272" s="51"/>
      <c r="L272" s="132"/>
      <c r="M272" s="51"/>
      <c r="N272" s="51"/>
      <c r="O272" s="51"/>
      <c r="P272" s="51"/>
      <c r="S272" s="51"/>
    </row>
    <row r="273" spans="1:19" hidden="1">
      <c r="A273" s="133">
        <v>4892210197061</v>
      </c>
      <c r="B273" s="51" t="s">
        <v>1237</v>
      </c>
      <c r="C273" s="126" t="s">
        <v>1238</v>
      </c>
      <c r="D273" s="51" t="s">
        <v>1239</v>
      </c>
      <c r="E273" s="51" t="s">
        <v>925</v>
      </c>
      <c r="F273" s="51" t="s">
        <v>1064</v>
      </c>
      <c r="G273" s="127">
        <f>(ProductMaster_iPST_iPower[[#This Row],[SellPrice (Inc. VAT)]]*100)/107</f>
        <v>2605.6074766355141</v>
      </c>
      <c r="H273" s="128">
        <v>2788</v>
      </c>
      <c r="I273" s="134" t="s">
        <v>1240</v>
      </c>
      <c r="J273" s="51"/>
      <c r="K273" s="51"/>
      <c r="L273" s="132"/>
      <c r="M273" s="51"/>
      <c r="N273" s="51"/>
      <c r="O273" s="51"/>
      <c r="P273" s="51"/>
      <c r="S273" s="51"/>
    </row>
    <row r="274" spans="1:19" hidden="1">
      <c r="A274" s="133">
        <v>4892210230157</v>
      </c>
      <c r="B274" s="51" t="s">
        <v>1241</v>
      </c>
      <c r="C274" s="126" t="s">
        <v>1242</v>
      </c>
      <c r="D274" s="51" t="s">
        <v>1243</v>
      </c>
      <c r="E274" s="51" t="s">
        <v>925</v>
      </c>
      <c r="F274" s="51" t="s">
        <v>1064</v>
      </c>
      <c r="G274" s="127">
        <f>(ProductMaster_iPST_iPower[[#This Row],[SellPrice (Inc. VAT)]]*100)/107</f>
        <v>5128.9719626168226</v>
      </c>
      <c r="H274" s="128">
        <v>5488</v>
      </c>
      <c r="I274" s="134" t="s">
        <v>1244</v>
      </c>
      <c r="J274" s="51"/>
      <c r="K274" s="51"/>
      <c r="L274" s="132"/>
      <c r="M274" s="51"/>
      <c r="N274" s="51"/>
      <c r="O274" s="51"/>
      <c r="P274" s="51"/>
      <c r="S274" s="51"/>
    </row>
    <row r="275" spans="1:19" hidden="1">
      <c r="A275" s="133">
        <v>4892210193315</v>
      </c>
      <c r="B275" s="51" t="s">
        <v>1245</v>
      </c>
      <c r="C275" s="126" t="s">
        <v>1246</v>
      </c>
      <c r="D275" s="51" t="s">
        <v>1247</v>
      </c>
      <c r="E275" s="51" t="s">
        <v>925</v>
      </c>
      <c r="F275" s="51" t="s">
        <v>1064</v>
      </c>
      <c r="G275" s="127">
        <f>(ProductMaster_iPST_iPower[[#This Row],[SellPrice (Inc. VAT)]]*100)/107</f>
        <v>5970.0934579439254</v>
      </c>
      <c r="H275" s="128">
        <v>6388</v>
      </c>
      <c r="I275" s="134" t="s">
        <v>1248</v>
      </c>
      <c r="J275" s="51"/>
      <c r="K275" s="51"/>
      <c r="L275" s="132"/>
      <c r="M275" s="51"/>
      <c r="N275" s="51"/>
      <c r="O275" s="51"/>
      <c r="P275" s="51"/>
      <c r="S275" s="51"/>
    </row>
    <row r="276" spans="1:19" hidden="1">
      <c r="A276" s="133">
        <v>4892210193049</v>
      </c>
      <c r="B276" s="51" t="s">
        <v>1249</v>
      </c>
      <c r="C276" s="126" t="s">
        <v>1250</v>
      </c>
      <c r="D276" s="51" t="s">
        <v>1251</v>
      </c>
      <c r="E276" s="51" t="s">
        <v>925</v>
      </c>
      <c r="F276" s="51" t="s">
        <v>1064</v>
      </c>
      <c r="G276" s="127">
        <f>(ProductMaster_iPST_iPower[[#This Row],[SellPrice (Inc. VAT)]]*100)/107</f>
        <v>1951.4018691588785</v>
      </c>
      <c r="H276" s="128">
        <v>2088</v>
      </c>
      <c r="I276" s="134" t="s">
        <v>1252</v>
      </c>
      <c r="J276" s="51"/>
      <c r="K276" s="51"/>
      <c r="L276" s="132"/>
      <c r="M276" s="51"/>
      <c r="N276" s="51"/>
      <c r="O276" s="51"/>
      <c r="P276" s="51"/>
      <c r="S276" s="51"/>
    </row>
    <row r="277" spans="1:19" hidden="1">
      <c r="A277" s="133">
        <v>4892210145826</v>
      </c>
      <c r="B277" s="51" t="s">
        <v>1253</v>
      </c>
      <c r="C277" s="126" t="s">
        <v>1254</v>
      </c>
      <c r="D277" s="51" t="s">
        <v>1255</v>
      </c>
      <c r="E277" s="51" t="s">
        <v>925</v>
      </c>
      <c r="F277" s="51" t="s">
        <v>1064</v>
      </c>
      <c r="G277" s="127">
        <f>(ProductMaster_iPST_iPower[[#This Row],[SellPrice (Inc. VAT)]]*100)/107</f>
        <v>3446.7289719626169</v>
      </c>
      <c r="H277" s="128">
        <v>3688</v>
      </c>
      <c r="I277" s="134" t="s">
        <v>1256</v>
      </c>
      <c r="J277" s="51"/>
      <c r="K277" s="51"/>
      <c r="L277" s="132"/>
      <c r="M277" s="51"/>
      <c r="N277" s="51"/>
      <c r="O277" s="51"/>
      <c r="P277" s="51"/>
      <c r="S277" s="51"/>
    </row>
    <row r="278" spans="1:19" hidden="1">
      <c r="A278" s="133">
        <v>4892210206329</v>
      </c>
      <c r="B278" s="51" t="s">
        <v>1257</v>
      </c>
      <c r="C278" s="126" t="s">
        <v>1258</v>
      </c>
      <c r="D278" s="51" t="s">
        <v>1259</v>
      </c>
      <c r="E278" s="51" t="s">
        <v>925</v>
      </c>
      <c r="F278" s="51" t="s">
        <v>1064</v>
      </c>
      <c r="G278" s="127">
        <f>(ProductMaster_iPST_iPower[[#This Row],[SellPrice (Inc. VAT)]]*100)/107</f>
        <v>7185.0467289719627</v>
      </c>
      <c r="H278" s="128">
        <v>7688</v>
      </c>
      <c r="I278" s="134" t="s">
        <v>1260</v>
      </c>
      <c r="J278" s="51"/>
      <c r="K278" s="51"/>
      <c r="L278" s="132"/>
      <c r="M278" s="51"/>
      <c r="N278" s="51"/>
      <c r="O278" s="51"/>
      <c r="P278" s="51"/>
      <c r="S278" s="51"/>
    </row>
    <row r="279" spans="1:19" hidden="1">
      <c r="A279" s="133">
        <v>4892210193018</v>
      </c>
      <c r="B279" s="51" t="s">
        <v>1261</v>
      </c>
      <c r="C279" s="126" t="s">
        <v>1262</v>
      </c>
      <c r="D279" s="51" t="s">
        <v>1263</v>
      </c>
      <c r="E279" s="51" t="s">
        <v>925</v>
      </c>
      <c r="F279" s="51" t="s">
        <v>1064</v>
      </c>
      <c r="G279" s="127">
        <f>(ProductMaster_iPST_iPower[[#This Row],[SellPrice (Inc. VAT)]]*100)/107</f>
        <v>6250.467289719626</v>
      </c>
      <c r="H279" s="128">
        <v>6688</v>
      </c>
      <c r="I279" s="134" t="s">
        <v>1264</v>
      </c>
      <c r="J279" s="51"/>
      <c r="K279" s="51"/>
      <c r="L279" s="132"/>
      <c r="M279" s="51"/>
      <c r="N279" s="51"/>
      <c r="O279" s="51"/>
      <c r="P279" s="51"/>
      <c r="S279" s="51"/>
    </row>
    <row r="280" spans="1:19" hidden="1">
      <c r="A280" s="133">
        <v>4892210191281</v>
      </c>
      <c r="B280" s="51" t="s">
        <v>1265</v>
      </c>
      <c r="C280" s="126" t="s">
        <v>1266</v>
      </c>
      <c r="D280" s="51" t="s">
        <v>1267</v>
      </c>
      <c r="E280" s="51" t="s">
        <v>925</v>
      </c>
      <c r="F280" s="51" t="s">
        <v>1064</v>
      </c>
      <c r="G280" s="127">
        <f>(ProductMaster_iPST_iPower[[#This Row],[SellPrice (Inc. VAT)]]*100)/107</f>
        <v>6904.6728971962621</v>
      </c>
      <c r="H280" s="128">
        <v>7388</v>
      </c>
      <c r="I280" s="134" t="s">
        <v>1268</v>
      </c>
      <c r="J280" s="51"/>
      <c r="K280" s="51"/>
      <c r="L280" s="132"/>
      <c r="M280" s="51"/>
      <c r="N280" s="51"/>
      <c r="O280" s="51"/>
      <c r="P280" s="51"/>
      <c r="S280" s="51"/>
    </row>
    <row r="281" spans="1:19" hidden="1">
      <c r="A281" s="133">
        <v>4892210139313</v>
      </c>
      <c r="B281" s="51" t="s">
        <v>1269</v>
      </c>
      <c r="C281" s="126" t="s">
        <v>1270</v>
      </c>
      <c r="D281" s="51" t="s">
        <v>1271</v>
      </c>
      <c r="E281" s="51" t="s">
        <v>925</v>
      </c>
      <c r="F281" s="51" t="s">
        <v>1064</v>
      </c>
      <c r="G281" s="127">
        <f>(ProductMaster_iPST_iPower[[#This Row],[SellPrice (Inc. VAT)]]*100)/107</f>
        <v>2325.233644859813</v>
      </c>
      <c r="H281" s="128">
        <v>2488</v>
      </c>
      <c r="I281" s="134" t="s">
        <v>1272</v>
      </c>
      <c r="J281" s="51"/>
      <c r="K281" s="51"/>
      <c r="L281" s="132"/>
      <c r="M281" s="51"/>
      <c r="N281" s="51"/>
      <c r="O281" s="51"/>
      <c r="P281" s="51"/>
      <c r="S281" s="51"/>
    </row>
    <row r="282" spans="1:19" hidden="1">
      <c r="A282" s="133">
        <v>4892210215338</v>
      </c>
      <c r="B282" s="51" t="s">
        <v>1273</v>
      </c>
      <c r="C282" s="126" t="s">
        <v>1274</v>
      </c>
      <c r="D282" s="51" t="s">
        <v>1275</v>
      </c>
      <c r="E282" s="51" t="s">
        <v>925</v>
      </c>
      <c r="F282" s="51" t="s">
        <v>1064</v>
      </c>
      <c r="G282" s="127">
        <f>(ProductMaster_iPST_iPower[[#This Row],[SellPrice (Inc. VAT)]]*100)/107</f>
        <v>3259.8130841121497</v>
      </c>
      <c r="H282" s="128">
        <v>3488</v>
      </c>
      <c r="I282" s="134" t="s">
        <v>1276</v>
      </c>
      <c r="J282" s="51"/>
      <c r="K282" s="51"/>
      <c r="L282" s="132"/>
      <c r="M282" s="51"/>
      <c r="N282" s="51"/>
      <c r="O282" s="51"/>
      <c r="P282" s="51"/>
      <c r="S282" s="51"/>
    </row>
    <row r="283" spans="1:19" hidden="1">
      <c r="A283" s="133">
        <v>4892210193025</v>
      </c>
      <c r="B283" s="51" t="s">
        <v>1277</v>
      </c>
      <c r="C283" s="126" t="s">
        <v>1278</v>
      </c>
      <c r="D283" s="51" t="s">
        <v>1279</v>
      </c>
      <c r="E283" s="51" t="s">
        <v>925</v>
      </c>
      <c r="F283" s="51" t="s">
        <v>1064</v>
      </c>
      <c r="G283" s="127">
        <f>(ProductMaster_iPST_iPower[[#This Row],[SellPrice (Inc. VAT)]]*100)/107</f>
        <v>4100.934579439252</v>
      </c>
      <c r="H283" s="128">
        <v>4388</v>
      </c>
      <c r="I283" s="134" t="s">
        <v>1280</v>
      </c>
      <c r="J283" s="51"/>
      <c r="K283" s="51"/>
      <c r="L283" s="132"/>
      <c r="M283" s="51"/>
      <c r="N283" s="51"/>
      <c r="O283" s="51"/>
      <c r="P283" s="51"/>
      <c r="S283" s="51"/>
    </row>
    <row r="284" spans="1:19" hidden="1">
      <c r="A284" s="133">
        <v>4892210141347</v>
      </c>
      <c r="B284" s="51" t="s">
        <v>1281</v>
      </c>
      <c r="C284" s="126" t="s">
        <v>1282</v>
      </c>
      <c r="D284" s="51" t="s">
        <v>1283</v>
      </c>
      <c r="E284" s="51" t="s">
        <v>925</v>
      </c>
      <c r="F284" s="51" t="s">
        <v>1064</v>
      </c>
      <c r="G284" s="127">
        <f>(ProductMaster_iPST_iPower[[#This Row],[SellPrice (Inc. VAT)]]*100)/107</f>
        <v>3259.8130841121497</v>
      </c>
      <c r="H284" s="128">
        <v>3488</v>
      </c>
      <c r="I284" s="134" t="s">
        <v>1284</v>
      </c>
      <c r="J284" s="51"/>
      <c r="K284" s="51"/>
      <c r="L284" s="132"/>
      <c r="M284" s="51"/>
      <c r="N284" s="51"/>
      <c r="O284" s="51"/>
      <c r="P284" s="51"/>
      <c r="S284" s="51"/>
    </row>
    <row r="285" spans="1:19" hidden="1">
      <c r="A285" s="133">
        <v>4892210139986</v>
      </c>
      <c r="B285" s="51" t="s">
        <v>1285</v>
      </c>
      <c r="C285" s="126" t="s">
        <v>1286</v>
      </c>
      <c r="D285" s="51" t="s">
        <v>1287</v>
      </c>
      <c r="E285" s="51" t="s">
        <v>925</v>
      </c>
      <c r="F285" s="51" t="s">
        <v>1064</v>
      </c>
      <c r="G285" s="127">
        <f>(ProductMaster_iPST_iPower[[#This Row],[SellPrice (Inc. VAT)]]*100)/107</f>
        <v>3259.8130841121497</v>
      </c>
      <c r="H285" s="128">
        <v>3488</v>
      </c>
      <c r="I285" s="134" t="s">
        <v>1288</v>
      </c>
      <c r="J285" s="51"/>
      <c r="K285" s="51"/>
      <c r="L285" s="132"/>
      <c r="M285" s="51"/>
      <c r="N285" s="51"/>
      <c r="O285" s="51"/>
      <c r="P285" s="51"/>
      <c r="S285" s="51"/>
    </row>
    <row r="286" spans="1:19" hidden="1">
      <c r="A286" s="133">
        <v>4892210203489</v>
      </c>
      <c r="B286" s="51" t="s">
        <v>1289</v>
      </c>
      <c r="C286" s="126" t="s">
        <v>1290</v>
      </c>
      <c r="D286" s="51" t="s">
        <v>1291</v>
      </c>
      <c r="E286" s="51" t="s">
        <v>925</v>
      </c>
      <c r="F286" s="51" t="s">
        <v>1064</v>
      </c>
      <c r="G286" s="127">
        <f>(ProductMaster_iPST_iPower[[#This Row],[SellPrice (Inc. VAT)]]*100)/107</f>
        <v>3820.5607476635514</v>
      </c>
      <c r="H286" s="128">
        <v>4088</v>
      </c>
      <c r="I286" s="134" t="s">
        <v>1292</v>
      </c>
      <c r="J286" s="51"/>
      <c r="K286" s="51"/>
      <c r="L286" s="132"/>
      <c r="M286" s="51"/>
      <c r="N286" s="51"/>
      <c r="O286" s="51"/>
      <c r="P286" s="51"/>
      <c r="S286" s="51"/>
    </row>
    <row r="287" spans="1:19" hidden="1">
      <c r="A287" s="133">
        <v>4892210213815</v>
      </c>
      <c r="B287" s="51" t="s">
        <v>1293</v>
      </c>
      <c r="C287" s="126" t="s">
        <v>1294</v>
      </c>
      <c r="D287" s="51" t="s">
        <v>1295</v>
      </c>
      <c r="E287" s="51" t="s">
        <v>925</v>
      </c>
      <c r="F287" s="51" t="s">
        <v>1064</v>
      </c>
      <c r="G287" s="127">
        <f>(ProductMaster_iPST_iPower[[#This Row],[SellPrice (Inc. VAT)]]*100)/107</f>
        <v>6437.3831775700937</v>
      </c>
      <c r="H287" s="128">
        <v>6888</v>
      </c>
      <c r="I287" s="134" t="s">
        <v>1296</v>
      </c>
      <c r="J287" s="51"/>
      <c r="K287" s="51"/>
      <c r="L287" s="132"/>
      <c r="M287" s="51"/>
      <c r="N287" s="51"/>
      <c r="O287" s="51"/>
      <c r="P287" s="51"/>
      <c r="S287" s="51"/>
    </row>
    <row r="288" spans="1:19" hidden="1">
      <c r="A288" s="133">
        <v>4892210179531</v>
      </c>
      <c r="B288" s="51" t="s">
        <v>1297</v>
      </c>
      <c r="C288" s="126" t="s">
        <v>1298</v>
      </c>
      <c r="D288" s="51" t="s">
        <v>1299</v>
      </c>
      <c r="E288" s="51" t="s">
        <v>925</v>
      </c>
      <c r="F288" s="51" t="s">
        <v>1064</v>
      </c>
      <c r="G288" s="127">
        <f>(ProductMaster_iPST_iPower[[#This Row],[SellPrice (Inc. VAT)]]*100)/107</f>
        <v>5128.9719626168226</v>
      </c>
      <c r="H288" s="128">
        <v>5488</v>
      </c>
      <c r="I288" s="134" t="s">
        <v>1300</v>
      </c>
      <c r="J288" s="51"/>
      <c r="K288" s="51"/>
      <c r="L288" s="132"/>
      <c r="M288" s="51"/>
      <c r="N288" s="51"/>
      <c r="O288" s="51"/>
      <c r="P288" s="51"/>
      <c r="S288" s="51"/>
    </row>
    <row r="289" spans="1:19" hidden="1">
      <c r="A289" s="133">
        <v>4892210189677</v>
      </c>
      <c r="B289" s="51" t="s">
        <v>1301</v>
      </c>
      <c r="C289" s="126" t="s">
        <v>1302</v>
      </c>
      <c r="D289" s="51" t="s">
        <v>1303</v>
      </c>
      <c r="E289" s="51" t="s">
        <v>925</v>
      </c>
      <c r="F289" s="51" t="s">
        <v>1064</v>
      </c>
      <c r="G289" s="127">
        <f>(ProductMaster_iPST_iPower[[#This Row],[SellPrice (Inc. VAT)]]*100)/107</f>
        <v>5783.1775700934577</v>
      </c>
      <c r="H289" s="128">
        <v>6188</v>
      </c>
      <c r="I289" s="134" t="s">
        <v>1304</v>
      </c>
      <c r="J289" s="51"/>
      <c r="K289" s="51"/>
      <c r="L289" s="132"/>
      <c r="M289" s="51"/>
      <c r="N289" s="51"/>
      <c r="O289" s="51"/>
      <c r="P289" s="51"/>
      <c r="S289" s="51"/>
    </row>
    <row r="290" spans="1:19" hidden="1">
      <c r="A290" s="133">
        <v>4892210217424</v>
      </c>
      <c r="B290" s="51" t="s">
        <v>1305</v>
      </c>
      <c r="C290" s="126" t="s">
        <v>1306</v>
      </c>
      <c r="D290" s="51" t="s">
        <v>1307</v>
      </c>
      <c r="E290" s="51" t="s">
        <v>925</v>
      </c>
      <c r="F290" s="51" t="s">
        <v>1064</v>
      </c>
      <c r="G290" s="127">
        <f>(ProductMaster_iPST_iPower[[#This Row],[SellPrice (Inc. VAT)]]*100)/107</f>
        <v>4568.2242990654204</v>
      </c>
      <c r="H290" s="128">
        <v>4888</v>
      </c>
      <c r="I290" s="134" t="s">
        <v>1308</v>
      </c>
      <c r="J290" s="51"/>
      <c r="K290" s="51"/>
      <c r="L290" s="132"/>
      <c r="M290" s="51"/>
      <c r="N290" s="51"/>
      <c r="O290" s="51"/>
      <c r="P290" s="51"/>
      <c r="S290" s="51"/>
    </row>
    <row r="291" spans="1:19" hidden="1">
      <c r="A291" s="133">
        <v>4892210135155</v>
      </c>
      <c r="B291" s="51" t="s">
        <v>1309</v>
      </c>
      <c r="C291" s="126" t="s">
        <v>1310</v>
      </c>
      <c r="D291" s="51" t="s">
        <v>1311</v>
      </c>
      <c r="E291" s="51" t="s">
        <v>925</v>
      </c>
      <c r="F291" s="51" t="s">
        <v>1064</v>
      </c>
      <c r="G291" s="127">
        <f>(ProductMaster_iPST_iPower[[#This Row],[SellPrice (Inc. VAT)]]*100)/107</f>
        <v>10736.448598130841</v>
      </c>
      <c r="H291" s="128">
        <v>11488</v>
      </c>
      <c r="I291" s="134" t="s">
        <v>1312</v>
      </c>
      <c r="J291" s="51"/>
      <c r="K291" s="51"/>
      <c r="L291" s="132"/>
      <c r="M291" s="51"/>
      <c r="N291" s="51"/>
      <c r="O291" s="51"/>
      <c r="P291" s="51"/>
      <c r="S291" s="51"/>
    </row>
    <row r="292" spans="1:19" hidden="1">
      <c r="A292" s="133">
        <v>4892210140548</v>
      </c>
      <c r="B292" s="51" t="s">
        <v>1313</v>
      </c>
      <c r="C292" s="126" t="s">
        <v>1314</v>
      </c>
      <c r="D292" s="51" t="s">
        <v>1315</v>
      </c>
      <c r="E292" s="51" t="s">
        <v>925</v>
      </c>
      <c r="F292" s="51" t="s">
        <v>1064</v>
      </c>
      <c r="G292" s="127">
        <f>(ProductMaster_iPST_iPower[[#This Row],[SellPrice (Inc. VAT)]]*100)/107</f>
        <v>9241.1214953271028</v>
      </c>
      <c r="H292" s="128">
        <v>9888</v>
      </c>
      <c r="I292" s="134" t="s">
        <v>1316</v>
      </c>
      <c r="J292" s="51"/>
      <c r="K292" s="51"/>
      <c r="L292" s="132"/>
      <c r="M292" s="51"/>
      <c r="N292" s="51"/>
      <c r="O292" s="51"/>
      <c r="P292" s="51"/>
      <c r="S292" s="51"/>
    </row>
    <row r="293" spans="1:19" hidden="1">
      <c r="A293" s="133">
        <v>4892210206978</v>
      </c>
      <c r="B293" s="51" t="s">
        <v>1317</v>
      </c>
      <c r="C293" s="126" t="s">
        <v>1318</v>
      </c>
      <c r="D293" s="51" t="s">
        <v>1319</v>
      </c>
      <c r="E293" s="51" t="s">
        <v>925</v>
      </c>
      <c r="F293" s="51" t="s">
        <v>1064</v>
      </c>
      <c r="G293" s="127">
        <f>(ProductMaster_iPST_iPower[[#This Row],[SellPrice (Inc. VAT)]]*100)/107</f>
        <v>18213.084112149532</v>
      </c>
      <c r="H293" s="128">
        <v>19488</v>
      </c>
      <c r="I293" s="134" t="s">
        <v>1320</v>
      </c>
      <c r="J293" s="51"/>
      <c r="K293" s="51"/>
      <c r="L293" s="132"/>
      <c r="M293" s="51"/>
      <c r="N293" s="51"/>
      <c r="O293" s="51"/>
      <c r="P293" s="51"/>
      <c r="S293" s="51"/>
    </row>
    <row r="294" spans="1:19" hidden="1">
      <c r="A294" s="133">
        <v>4892210201478</v>
      </c>
      <c r="B294" s="51" t="s">
        <v>1321</v>
      </c>
      <c r="C294" s="126" t="s">
        <v>1322</v>
      </c>
      <c r="D294" s="51" t="s">
        <v>1323</v>
      </c>
      <c r="E294" s="51" t="s">
        <v>925</v>
      </c>
      <c r="F294" s="51" t="s">
        <v>1064</v>
      </c>
      <c r="G294" s="127">
        <f>(ProductMaster_iPST_iPower[[#This Row],[SellPrice (Inc. VAT)]]*100)/107</f>
        <v>8773.8317757009354</v>
      </c>
      <c r="H294" s="128">
        <v>9388</v>
      </c>
      <c r="I294" s="134" t="s">
        <v>1324</v>
      </c>
      <c r="J294" s="51"/>
      <c r="K294" s="51"/>
      <c r="L294" s="132"/>
      <c r="M294" s="51"/>
      <c r="N294" s="51"/>
      <c r="O294" s="51"/>
      <c r="P294" s="51"/>
      <c r="S294" s="51"/>
    </row>
    <row r="295" spans="1:19" hidden="1">
      <c r="A295" s="133">
        <v>4892210191311</v>
      </c>
      <c r="B295" s="51" t="s">
        <v>1325</v>
      </c>
      <c r="C295" s="126" t="s">
        <v>1326</v>
      </c>
      <c r="D295" s="51" t="s">
        <v>1327</v>
      </c>
      <c r="E295" s="51" t="s">
        <v>925</v>
      </c>
      <c r="F295" s="51" t="s">
        <v>1064</v>
      </c>
      <c r="G295" s="127">
        <f>(ProductMaster_iPST_iPower[[#This Row],[SellPrice (Inc. VAT)]]*100)/107</f>
        <v>5222.4299065420564</v>
      </c>
      <c r="H295" s="128">
        <v>5588</v>
      </c>
      <c r="I295" s="134" t="s">
        <v>1328</v>
      </c>
      <c r="J295" s="51"/>
      <c r="K295" s="51"/>
      <c r="L295" s="132"/>
      <c r="M295" s="51"/>
      <c r="N295" s="51"/>
      <c r="O295" s="51"/>
      <c r="P295" s="51"/>
      <c r="S295" s="51"/>
    </row>
    <row r="296" spans="1:19" hidden="1">
      <c r="A296" s="133">
        <v>4892210222503</v>
      </c>
      <c r="B296" s="51" t="s">
        <v>1329</v>
      </c>
      <c r="C296" s="126" t="s">
        <v>1330</v>
      </c>
      <c r="D296" s="51" t="s">
        <v>1331</v>
      </c>
      <c r="E296" s="51" t="s">
        <v>925</v>
      </c>
      <c r="F296" s="51" t="s">
        <v>1064</v>
      </c>
      <c r="G296" s="127">
        <f>(ProductMaster_iPST_iPower[[#This Row],[SellPrice (Inc. VAT)]]*100)/107</f>
        <v>9241.1214953271028</v>
      </c>
      <c r="H296" s="128">
        <v>9888</v>
      </c>
      <c r="I296" s="134" t="s">
        <v>1332</v>
      </c>
      <c r="J296" s="51"/>
      <c r="K296" s="51"/>
      <c r="L296" s="132"/>
      <c r="M296" s="51"/>
      <c r="N296" s="51"/>
      <c r="O296" s="51"/>
      <c r="P296" s="51"/>
      <c r="S296" s="51"/>
    </row>
    <row r="297" spans="1:19" hidden="1">
      <c r="A297" s="133">
        <v>4892210215437</v>
      </c>
      <c r="B297" s="51" t="s">
        <v>1333</v>
      </c>
      <c r="C297" s="126" t="s">
        <v>1334</v>
      </c>
      <c r="D297" s="51" t="s">
        <v>1335</v>
      </c>
      <c r="E297" s="51" t="s">
        <v>925</v>
      </c>
      <c r="F297" s="51" t="s">
        <v>1064</v>
      </c>
      <c r="G297" s="127">
        <f>(ProductMaster_iPST_iPower[[#This Row],[SellPrice (Inc. VAT)]]*100)/107</f>
        <v>41951.401869158879</v>
      </c>
      <c r="H297" s="128">
        <v>44888</v>
      </c>
      <c r="I297" s="134" t="s">
        <v>1336</v>
      </c>
      <c r="J297" s="51"/>
      <c r="K297" s="51"/>
      <c r="L297" s="132"/>
      <c r="M297" s="51"/>
      <c r="N297" s="51"/>
      <c r="O297" s="51"/>
      <c r="P297" s="51"/>
      <c r="S297" s="51"/>
    </row>
    <row r="298" spans="1:19" hidden="1">
      <c r="A298" s="133">
        <v>4892210203724</v>
      </c>
      <c r="B298" s="51" t="s">
        <v>1337</v>
      </c>
      <c r="C298" s="126" t="s">
        <v>1338</v>
      </c>
      <c r="D298" s="51" t="s">
        <v>1339</v>
      </c>
      <c r="E298" s="51" t="s">
        <v>925</v>
      </c>
      <c r="F298" s="51" t="s">
        <v>1064</v>
      </c>
      <c r="G298" s="127">
        <f>(ProductMaster_iPST_iPower[[#This Row],[SellPrice (Inc. VAT)]]*100)/107</f>
        <v>9334.5794392523367</v>
      </c>
      <c r="H298" s="128">
        <v>9988</v>
      </c>
      <c r="I298" s="134" t="s">
        <v>1340</v>
      </c>
      <c r="J298" s="51"/>
      <c r="K298" s="51"/>
      <c r="L298" s="132"/>
      <c r="M298" s="51"/>
      <c r="N298" s="51"/>
      <c r="O298" s="51"/>
      <c r="P298" s="51"/>
      <c r="S298" s="51"/>
    </row>
    <row r="299" spans="1:19" hidden="1">
      <c r="A299" s="133">
        <v>4892210230522</v>
      </c>
      <c r="B299" s="51" t="s">
        <v>1341</v>
      </c>
      <c r="C299" s="126" t="s">
        <v>1342</v>
      </c>
      <c r="D299" s="51" t="s">
        <v>1343</v>
      </c>
      <c r="E299" s="51" t="s">
        <v>925</v>
      </c>
      <c r="F299" s="51" t="s">
        <v>1064</v>
      </c>
      <c r="G299" s="127">
        <f>(ProductMaster_iPST_iPower[[#This Row],[SellPrice (Inc. VAT)]]*100)/107</f>
        <v>15783.177570093458</v>
      </c>
      <c r="H299" s="128">
        <v>16888</v>
      </c>
      <c r="I299" s="134" t="s">
        <v>1344</v>
      </c>
      <c r="J299" s="51"/>
      <c r="K299" s="51"/>
      <c r="L299" s="132"/>
      <c r="M299" s="51"/>
      <c r="N299" s="51"/>
      <c r="O299" s="51"/>
      <c r="P299" s="51"/>
      <c r="S299" s="51"/>
    </row>
    <row r="300" spans="1:19" hidden="1">
      <c r="A300" s="133">
        <v>4892210185280</v>
      </c>
      <c r="B300" s="51" t="s">
        <v>1345</v>
      </c>
      <c r="C300" s="126" t="s">
        <v>1346</v>
      </c>
      <c r="D300" s="51" t="s">
        <v>1287</v>
      </c>
      <c r="E300" s="51" t="s">
        <v>925</v>
      </c>
      <c r="F300" s="51" t="s">
        <v>1064</v>
      </c>
      <c r="G300" s="127">
        <f>(ProductMaster_iPST_iPower[[#This Row],[SellPrice (Inc. VAT)]]*100)/107</f>
        <v>5222.4299065420564</v>
      </c>
      <c r="H300" s="128">
        <v>5588</v>
      </c>
      <c r="I300" s="134" t="s">
        <v>1347</v>
      </c>
      <c r="J300" s="51"/>
      <c r="K300" s="51"/>
      <c r="L300" s="132"/>
      <c r="M300" s="51"/>
      <c r="N300" s="51"/>
      <c r="O300" s="51"/>
      <c r="P300" s="51"/>
      <c r="S300" s="51"/>
    </row>
    <row r="301" spans="1:19" hidden="1">
      <c r="A301" s="133">
        <v>4892210215550</v>
      </c>
      <c r="B301" s="51" t="s">
        <v>1348</v>
      </c>
      <c r="C301" s="126" t="s">
        <v>1349</v>
      </c>
      <c r="D301" s="51" t="s">
        <v>1350</v>
      </c>
      <c r="E301" s="51" t="s">
        <v>925</v>
      </c>
      <c r="F301" s="51" t="s">
        <v>1064</v>
      </c>
      <c r="G301" s="127">
        <f>(ProductMaster_iPST_iPower[[#This Row],[SellPrice (Inc. VAT)]]*100)/107</f>
        <v>12044.859813084113</v>
      </c>
      <c r="H301" s="128">
        <v>12888</v>
      </c>
      <c r="I301" s="134" t="s">
        <v>1351</v>
      </c>
      <c r="J301" s="51"/>
      <c r="K301" s="51"/>
      <c r="L301" s="132"/>
      <c r="M301" s="51"/>
      <c r="N301" s="51"/>
      <c r="O301" s="51"/>
      <c r="P301" s="51"/>
      <c r="S301" s="51"/>
    </row>
    <row r="302" spans="1:19" hidden="1">
      <c r="A302" s="133">
        <v>4892210188953</v>
      </c>
      <c r="B302" s="51" t="s">
        <v>1352</v>
      </c>
      <c r="C302" s="126" t="s">
        <v>1353</v>
      </c>
      <c r="D302" s="51" t="s">
        <v>1354</v>
      </c>
      <c r="E302" s="51" t="s">
        <v>925</v>
      </c>
      <c r="F302" s="51" t="s">
        <v>1064</v>
      </c>
      <c r="G302" s="127">
        <f>(ProductMaster_iPST_iPower[[#This Row],[SellPrice (Inc. VAT)]]*100)/107</f>
        <v>12418.691588785046</v>
      </c>
      <c r="H302" s="128">
        <v>13288</v>
      </c>
      <c r="I302" s="134" t="s">
        <v>1355</v>
      </c>
      <c r="J302" s="51"/>
      <c r="K302" s="51"/>
      <c r="L302" s="132"/>
      <c r="M302" s="51"/>
      <c r="N302" s="51"/>
      <c r="O302" s="51"/>
      <c r="P302" s="51"/>
      <c r="S302" s="51"/>
    </row>
    <row r="303" spans="1:19" hidden="1">
      <c r="A303" s="133">
        <v>4892210188151</v>
      </c>
      <c r="B303" s="51" t="s">
        <v>1356</v>
      </c>
      <c r="C303" s="126" t="s">
        <v>1357</v>
      </c>
      <c r="D303" s="51" t="s">
        <v>1358</v>
      </c>
      <c r="E303" s="51" t="s">
        <v>925</v>
      </c>
      <c r="F303" s="51" t="s">
        <v>1064</v>
      </c>
      <c r="G303" s="127">
        <f>(ProductMaster_iPST_iPower[[#This Row],[SellPrice (Inc. VAT)]]*100)/107</f>
        <v>17745.794392523363</v>
      </c>
      <c r="H303" s="128">
        <v>18988</v>
      </c>
      <c r="I303" s="134" t="s">
        <v>1359</v>
      </c>
      <c r="J303" s="51"/>
      <c r="K303" s="51"/>
      <c r="L303" s="132"/>
      <c r="M303" s="51"/>
      <c r="N303" s="51"/>
      <c r="O303" s="51"/>
      <c r="P303" s="51"/>
      <c r="S303" s="51"/>
    </row>
    <row r="304" spans="1:19" hidden="1">
      <c r="A304" s="133">
        <v>4892210195692</v>
      </c>
      <c r="B304" s="51" t="s">
        <v>1360</v>
      </c>
      <c r="C304" s="126" t="s">
        <v>1361</v>
      </c>
      <c r="D304" s="51" t="s">
        <v>1362</v>
      </c>
      <c r="E304" s="51" t="s">
        <v>925</v>
      </c>
      <c r="F304" s="51" t="s">
        <v>1064</v>
      </c>
      <c r="G304" s="127">
        <f>(ProductMaster_iPST_iPower[[#This Row],[SellPrice (Inc. VAT)]]*100)/107</f>
        <v>11203.73831775701</v>
      </c>
      <c r="H304" s="128">
        <v>11988</v>
      </c>
      <c r="I304" s="134" t="s">
        <v>1363</v>
      </c>
      <c r="J304" s="51"/>
      <c r="K304" s="51"/>
      <c r="L304" s="132"/>
      <c r="M304" s="51"/>
      <c r="N304" s="51"/>
      <c r="O304" s="51"/>
      <c r="P304" s="51"/>
      <c r="S304" s="51"/>
    </row>
    <row r="305" spans="1:19" hidden="1">
      <c r="A305" s="133">
        <v>4892210215444</v>
      </c>
      <c r="B305" s="51" t="s">
        <v>1364</v>
      </c>
      <c r="C305" s="126" t="s">
        <v>1365</v>
      </c>
      <c r="D305" s="51" t="s">
        <v>1366</v>
      </c>
      <c r="E305" s="51" t="s">
        <v>925</v>
      </c>
      <c r="F305" s="51" t="s">
        <v>1064</v>
      </c>
      <c r="G305" s="127">
        <f>(ProductMaster_iPST_iPower[[#This Row],[SellPrice (Inc. VAT)]]*100)/107</f>
        <v>13914.018691588784</v>
      </c>
      <c r="H305" s="128">
        <v>14888</v>
      </c>
      <c r="I305" s="134" t="s">
        <v>1367</v>
      </c>
      <c r="J305" s="51"/>
      <c r="K305" s="51"/>
      <c r="L305" s="132"/>
      <c r="M305" s="51"/>
      <c r="N305" s="51"/>
      <c r="O305" s="51"/>
      <c r="P305" s="51"/>
      <c r="S305" s="51"/>
    </row>
    <row r="306" spans="1:19" hidden="1">
      <c r="A306" s="133">
        <v>4892210229137</v>
      </c>
      <c r="B306" s="51" t="s">
        <v>1368</v>
      </c>
      <c r="C306" s="126" t="s">
        <v>1369</v>
      </c>
      <c r="D306" s="51" t="s">
        <v>1370</v>
      </c>
      <c r="E306" s="51" t="s">
        <v>925</v>
      </c>
      <c r="F306" s="51" t="s">
        <v>1064</v>
      </c>
      <c r="G306" s="127">
        <f>(ProductMaster_iPST_iPower[[#This Row],[SellPrice (Inc. VAT)]]*100)/107</f>
        <v>7745.7943925233649</v>
      </c>
      <c r="H306" s="128">
        <v>8288</v>
      </c>
      <c r="I306" s="134" t="s">
        <v>1371</v>
      </c>
      <c r="J306" s="51"/>
      <c r="K306" s="51"/>
      <c r="L306" s="132"/>
      <c r="M306" s="51"/>
      <c r="N306" s="51"/>
      <c r="O306" s="51"/>
      <c r="P306" s="51"/>
      <c r="S306" s="51"/>
    </row>
    <row r="307" spans="1:19" hidden="1">
      <c r="A307" s="133">
        <v>4892210163776</v>
      </c>
      <c r="B307" s="51" t="s">
        <v>1372</v>
      </c>
      <c r="C307" s="126" t="s">
        <v>1373</v>
      </c>
      <c r="D307" s="51" t="s">
        <v>1374</v>
      </c>
      <c r="E307" s="51" t="s">
        <v>925</v>
      </c>
      <c r="F307" s="51" t="s">
        <v>1064</v>
      </c>
      <c r="G307" s="127">
        <f>(ProductMaster_iPST_iPower[[#This Row],[SellPrice (Inc. VAT)]]*100)/107</f>
        <v>10082.242990654206</v>
      </c>
      <c r="H307" s="128">
        <v>10788</v>
      </c>
      <c r="I307" s="134" t="s">
        <v>1375</v>
      </c>
      <c r="J307" s="51"/>
      <c r="K307" s="51"/>
      <c r="L307" s="132"/>
      <c r="M307" s="51"/>
      <c r="N307" s="51"/>
      <c r="O307" s="51"/>
      <c r="P307" s="51"/>
      <c r="S307" s="51"/>
    </row>
    <row r="308" spans="1:19" hidden="1">
      <c r="A308" s="133"/>
      <c r="B308" s="51" t="s">
        <v>1376</v>
      </c>
      <c r="C308" s="126" t="s">
        <v>1377</v>
      </c>
      <c r="D308" s="51" t="s">
        <v>1378</v>
      </c>
      <c r="E308" s="51" t="s">
        <v>925</v>
      </c>
      <c r="F308" s="51" t="s">
        <v>1064</v>
      </c>
      <c r="G308" s="127">
        <f>(ProductMaster_iPST_iPower[[#This Row],[SellPrice (Inc. VAT)]]*100)/107</f>
        <v>15783.177570093458</v>
      </c>
      <c r="H308" s="128">
        <v>16888</v>
      </c>
      <c r="I308" s="135" t="e">
        <v>#N/A</v>
      </c>
      <c r="J308" s="51"/>
      <c r="K308" s="51"/>
      <c r="L308" s="132"/>
      <c r="M308" s="51"/>
      <c r="N308" s="51"/>
      <c r="O308" s="51"/>
      <c r="P308" s="51"/>
      <c r="S308" s="51"/>
    </row>
    <row r="309" spans="1:19" hidden="1">
      <c r="A309" s="133">
        <v>4892210210975</v>
      </c>
      <c r="B309" s="51" t="s">
        <v>1379</v>
      </c>
      <c r="C309" s="126" t="s">
        <v>1380</v>
      </c>
      <c r="D309" s="51" t="s">
        <v>1381</v>
      </c>
      <c r="E309" s="51" t="s">
        <v>925</v>
      </c>
      <c r="F309" s="51" t="s">
        <v>1064</v>
      </c>
      <c r="G309" s="127">
        <f>(ProductMaster_iPST_iPower[[#This Row],[SellPrice (Inc. VAT)]]*100)/107</f>
        <v>21203.738317757008</v>
      </c>
      <c r="H309" s="128">
        <v>22688</v>
      </c>
      <c r="I309" s="134" t="s">
        <v>1382</v>
      </c>
      <c r="J309" s="51"/>
      <c r="K309" s="51"/>
      <c r="L309" s="132"/>
      <c r="M309" s="51"/>
      <c r="N309" s="51"/>
      <c r="O309" s="51"/>
      <c r="P309" s="51"/>
      <c r="S309" s="51"/>
    </row>
    <row r="310" spans="1:19" hidden="1">
      <c r="A310" s="133">
        <v>4892210222107</v>
      </c>
      <c r="B310" s="51" t="s">
        <v>1383</v>
      </c>
      <c r="C310" s="126" t="s">
        <v>1384</v>
      </c>
      <c r="D310" s="51" t="s">
        <v>1385</v>
      </c>
      <c r="E310" s="51" t="s">
        <v>925</v>
      </c>
      <c r="F310" s="51" t="s">
        <v>1064</v>
      </c>
      <c r="G310" s="127">
        <f>(ProductMaster_iPST_iPower[[#This Row],[SellPrice (Inc. VAT)]]*100)/107</f>
        <v>9334.5794392523367</v>
      </c>
      <c r="H310" s="128">
        <v>9988</v>
      </c>
      <c r="I310" s="134" t="s">
        <v>1386</v>
      </c>
      <c r="J310" s="51"/>
      <c r="K310" s="51"/>
      <c r="L310" s="132"/>
      <c r="M310" s="51"/>
      <c r="N310" s="51"/>
      <c r="O310" s="51"/>
      <c r="P310" s="51"/>
      <c r="S310" s="51"/>
    </row>
    <row r="311" spans="1:19" hidden="1">
      <c r="A311" s="133">
        <v>4892210204080</v>
      </c>
      <c r="B311" s="51" t="s">
        <v>1387</v>
      </c>
      <c r="C311" s="126" t="s">
        <v>1388</v>
      </c>
      <c r="D311" s="51" t="s">
        <v>1389</v>
      </c>
      <c r="E311" s="51" t="s">
        <v>925</v>
      </c>
      <c r="F311" s="51" t="s">
        <v>1064</v>
      </c>
      <c r="G311" s="127">
        <f>(ProductMaster_iPST_iPower[[#This Row],[SellPrice (Inc. VAT)]]*100)/107</f>
        <v>11951.401869158879</v>
      </c>
      <c r="H311" s="128">
        <v>12788</v>
      </c>
      <c r="I311" s="134" t="s">
        <v>1390</v>
      </c>
      <c r="J311" s="51"/>
      <c r="K311" s="51"/>
      <c r="L311" s="132"/>
      <c r="M311" s="51"/>
      <c r="N311" s="51"/>
      <c r="O311" s="51"/>
      <c r="P311" s="51"/>
      <c r="S311" s="51"/>
    </row>
    <row r="312" spans="1:19" hidden="1">
      <c r="A312" s="133">
        <v>4892210163752</v>
      </c>
      <c r="B312" s="51" t="s">
        <v>1391</v>
      </c>
      <c r="C312" s="126" t="s">
        <v>1392</v>
      </c>
      <c r="D312" s="51" t="s">
        <v>1393</v>
      </c>
      <c r="E312" s="51" t="s">
        <v>925</v>
      </c>
      <c r="F312" s="51" t="s">
        <v>1064</v>
      </c>
      <c r="G312" s="127">
        <f>(ProductMaster_iPST_iPower[[#This Row],[SellPrice (Inc. VAT)]]*100)/107</f>
        <v>6250.467289719626</v>
      </c>
      <c r="H312" s="128">
        <v>6688</v>
      </c>
      <c r="I312" s="134" t="s">
        <v>1394</v>
      </c>
      <c r="J312" s="51"/>
      <c r="K312" s="51"/>
      <c r="L312" s="132"/>
      <c r="M312" s="51"/>
      <c r="N312" s="51"/>
      <c r="O312" s="51"/>
      <c r="P312" s="51"/>
      <c r="S312" s="51"/>
    </row>
    <row r="313" spans="1:19" hidden="1">
      <c r="A313" s="133">
        <v>4892210220554</v>
      </c>
      <c r="B313" s="51" t="s">
        <v>1395</v>
      </c>
      <c r="C313" s="126" t="s">
        <v>1396</v>
      </c>
      <c r="D313" s="51" t="s">
        <v>1185</v>
      </c>
      <c r="E313" s="51" t="s">
        <v>925</v>
      </c>
      <c r="F313" s="51" t="s">
        <v>1064</v>
      </c>
      <c r="G313" s="127">
        <f>(ProductMaster_iPST_iPower[[#This Row],[SellPrice (Inc. VAT)]]*100)/107</f>
        <v>6063.5514018691592</v>
      </c>
      <c r="H313" s="128">
        <v>6488</v>
      </c>
      <c r="I313" s="134" t="s">
        <v>1397</v>
      </c>
      <c r="J313" s="51"/>
      <c r="K313" s="51"/>
      <c r="L313" s="132"/>
      <c r="M313" s="51"/>
      <c r="N313" s="51"/>
      <c r="O313" s="51"/>
      <c r="P313" s="51"/>
      <c r="S313" s="51"/>
    </row>
    <row r="314" spans="1:19" hidden="1">
      <c r="A314" s="133">
        <v>4892210194787</v>
      </c>
      <c r="B314" s="51" t="s">
        <v>1398</v>
      </c>
      <c r="C314" s="126" t="s">
        <v>1399</v>
      </c>
      <c r="D314" s="51" t="s">
        <v>1400</v>
      </c>
      <c r="E314" s="51" t="s">
        <v>925</v>
      </c>
      <c r="F314" s="51" t="s">
        <v>1064</v>
      </c>
      <c r="G314" s="127">
        <f>(ProductMaster_iPST_iPower[[#This Row],[SellPrice (Inc. VAT)]]*100)/107</f>
        <v>39147.663551401871</v>
      </c>
      <c r="H314" s="128">
        <v>41888</v>
      </c>
      <c r="I314" s="134" t="s">
        <v>1401</v>
      </c>
      <c r="J314" s="51"/>
      <c r="K314" s="51"/>
      <c r="L314" s="132"/>
      <c r="M314" s="51"/>
      <c r="N314" s="51"/>
      <c r="O314" s="51"/>
      <c r="P314" s="51"/>
      <c r="S314" s="51"/>
    </row>
    <row r="315" spans="1:19" hidden="1">
      <c r="A315" s="133">
        <v>4892210196293</v>
      </c>
      <c r="B315" s="51" t="s">
        <v>1402</v>
      </c>
      <c r="C315" s="126" t="s">
        <v>1403</v>
      </c>
      <c r="D315" s="51" t="s">
        <v>1404</v>
      </c>
      <c r="E315" s="51" t="s">
        <v>925</v>
      </c>
      <c r="F315" s="51" t="s">
        <v>1064</v>
      </c>
      <c r="G315" s="127">
        <f>(ProductMaster_iPST_iPower[[#This Row],[SellPrice (Inc. VAT)]]*100)/107</f>
        <v>7465.4205607476633</v>
      </c>
      <c r="H315" s="128">
        <v>7988</v>
      </c>
      <c r="I315" s="134" t="s">
        <v>1405</v>
      </c>
      <c r="J315" s="51"/>
      <c r="K315" s="51"/>
      <c r="L315" s="132"/>
      <c r="M315" s="51"/>
      <c r="N315" s="51"/>
      <c r="O315" s="51"/>
      <c r="P315" s="51"/>
      <c r="S315" s="51"/>
    </row>
    <row r="316" spans="1:19" hidden="1">
      <c r="A316" s="133">
        <v>4892210187253</v>
      </c>
      <c r="B316" s="51" t="s">
        <v>1406</v>
      </c>
      <c r="C316" s="126" t="s">
        <v>1407</v>
      </c>
      <c r="D316" s="51" t="s">
        <v>1408</v>
      </c>
      <c r="E316" s="51" t="s">
        <v>925</v>
      </c>
      <c r="F316" s="51" t="s">
        <v>1064</v>
      </c>
      <c r="G316" s="127">
        <f>(ProductMaster_iPST_iPower[[#This Row],[SellPrice (Inc. VAT)]]*100)/107</f>
        <v>14661.682242990653</v>
      </c>
      <c r="H316" s="128">
        <v>15688</v>
      </c>
      <c r="I316" s="134" t="s">
        <v>1409</v>
      </c>
      <c r="J316" s="51"/>
      <c r="K316" s="51"/>
      <c r="L316" s="132"/>
      <c r="M316" s="51"/>
      <c r="N316" s="51"/>
      <c r="O316" s="51"/>
      <c r="P316" s="51"/>
      <c r="S316" s="51"/>
    </row>
    <row r="317" spans="1:19" hidden="1">
      <c r="A317" s="133">
        <v>4892210183927</v>
      </c>
      <c r="B317" s="51" t="s">
        <v>1410</v>
      </c>
      <c r="C317" s="126" t="s">
        <v>1411</v>
      </c>
      <c r="D317" s="51" t="s">
        <v>1412</v>
      </c>
      <c r="E317" s="51" t="s">
        <v>925</v>
      </c>
      <c r="F317" s="51" t="s">
        <v>1064</v>
      </c>
      <c r="G317" s="127">
        <f>(ProductMaster_iPST_iPower[[#This Row],[SellPrice (Inc. VAT)]]*100)/107</f>
        <v>7371.9626168224295</v>
      </c>
      <c r="H317" s="128">
        <v>7888</v>
      </c>
      <c r="I317" s="134" t="s">
        <v>1413</v>
      </c>
      <c r="J317" s="51"/>
      <c r="K317" s="51"/>
      <c r="L317" s="132"/>
      <c r="M317" s="51"/>
      <c r="N317" s="51"/>
      <c r="O317" s="51"/>
      <c r="P317" s="51"/>
      <c r="S317" s="51"/>
    </row>
    <row r="318" spans="1:19" hidden="1">
      <c r="A318" s="133">
        <v>4892210220011</v>
      </c>
      <c r="B318" s="51" t="s">
        <v>1414</v>
      </c>
      <c r="C318" s="126" t="s">
        <v>1415</v>
      </c>
      <c r="D318" s="51" t="s">
        <v>1416</v>
      </c>
      <c r="E318" s="51" t="s">
        <v>171</v>
      </c>
      <c r="F318" s="51" t="s">
        <v>1064</v>
      </c>
      <c r="G318" s="127">
        <f>(ProductMaster_iPST_iPower[[#This Row],[SellPrice (Inc. VAT)]]*100)/107</f>
        <v>4942.0560747663549</v>
      </c>
      <c r="H318" s="128">
        <v>5288</v>
      </c>
      <c r="I318" s="134" t="s">
        <v>1417</v>
      </c>
      <c r="J318" s="51"/>
      <c r="K318" s="51"/>
      <c r="L318" s="132"/>
      <c r="M318" s="51"/>
      <c r="N318" s="51"/>
      <c r="O318" s="51"/>
      <c r="P318" s="51"/>
      <c r="S318" s="51"/>
    </row>
    <row r="319" spans="1:19" hidden="1">
      <c r="A319" s="133">
        <v>4892210183903</v>
      </c>
      <c r="B319" s="51" t="s">
        <v>1418</v>
      </c>
      <c r="C319" s="126" t="s">
        <v>1419</v>
      </c>
      <c r="D319" s="51" t="s">
        <v>1420</v>
      </c>
      <c r="E319" s="51" t="s">
        <v>925</v>
      </c>
      <c r="F319" s="51" t="s">
        <v>1064</v>
      </c>
      <c r="G319" s="127">
        <f>(ProductMaster_iPST_iPower[[#This Row],[SellPrice (Inc. VAT)]]*100)/107</f>
        <v>5222.4299065420564</v>
      </c>
      <c r="H319" s="128">
        <v>5588</v>
      </c>
      <c r="I319" s="134" t="s">
        <v>1421</v>
      </c>
      <c r="J319" s="51"/>
      <c r="K319" s="51"/>
      <c r="L319" s="132"/>
      <c r="M319" s="51"/>
      <c r="N319" s="51"/>
      <c r="O319" s="51"/>
      <c r="P319" s="51"/>
      <c r="S319" s="51"/>
    </row>
    <row r="320" spans="1:19" hidden="1">
      <c r="A320" s="133">
        <v>4892210183880</v>
      </c>
      <c r="B320" s="51" t="s">
        <v>1422</v>
      </c>
      <c r="C320" s="126" t="s">
        <v>1423</v>
      </c>
      <c r="D320" s="51" t="s">
        <v>1424</v>
      </c>
      <c r="E320" s="51" t="s">
        <v>925</v>
      </c>
      <c r="F320" s="51" t="s">
        <v>1064</v>
      </c>
      <c r="G320" s="127">
        <f>(ProductMaster_iPST_iPower[[#This Row],[SellPrice (Inc. VAT)]]*100)/107</f>
        <v>4287.8504672897197</v>
      </c>
      <c r="H320" s="128">
        <v>4588</v>
      </c>
      <c r="I320" s="134" t="s">
        <v>1425</v>
      </c>
      <c r="J320" s="51"/>
      <c r="K320" s="51"/>
      <c r="L320" s="132"/>
      <c r="M320" s="51"/>
      <c r="N320" s="51"/>
      <c r="O320" s="51"/>
      <c r="P320" s="51"/>
      <c r="S320" s="51"/>
    </row>
    <row r="321" spans="1:19" hidden="1">
      <c r="A321" s="133">
        <v>4892210183910</v>
      </c>
      <c r="B321" s="51" t="s">
        <v>1426</v>
      </c>
      <c r="C321" s="126" t="s">
        <v>1427</v>
      </c>
      <c r="D321" s="51" t="s">
        <v>1428</v>
      </c>
      <c r="E321" s="51" t="s">
        <v>925</v>
      </c>
      <c r="F321" s="51" t="s">
        <v>1064</v>
      </c>
      <c r="G321" s="127">
        <f>(ProductMaster_iPST_iPower[[#This Row],[SellPrice (Inc. VAT)]]*100)/107</f>
        <v>2605.6074766355141</v>
      </c>
      <c r="H321" s="128">
        <v>2788</v>
      </c>
      <c r="I321" s="134" t="s">
        <v>1429</v>
      </c>
      <c r="J321" s="51"/>
      <c r="K321" s="51"/>
      <c r="L321" s="132"/>
      <c r="M321" s="51"/>
      <c r="N321" s="51"/>
      <c r="O321" s="51"/>
      <c r="P321" s="51"/>
      <c r="S321" s="51"/>
    </row>
    <row r="322" spans="1:19" hidden="1">
      <c r="A322" s="133">
        <v>4892210183897</v>
      </c>
      <c r="B322" s="51" t="s">
        <v>1430</v>
      </c>
      <c r="C322" s="126" t="s">
        <v>1431</v>
      </c>
      <c r="D322" s="51" t="s">
        <v>1432</v>
      </c>
      <c r="E322" s="51" t="s">
        <v>925</v>
      </c>
      <c r="F322" s="51" t="s">
        <v>1064</v>
      </c>
      <c r="G322" s="127">
        <f>(ProductMaster_iPST_iPower[[#This Row],[SellPrice (Inc. VAT)]]*100)/107</f>
        <v>5876.6355140186915</v>
      </c>
      <c r="H322" s="128">
        <v>6288</v>
      </c>
      <c r="I322" s="134" t="s">
        <v>1433</v>
      </c>
      <c r="J322" s="51"/>
      <c r="K322" s="51"/>
      <c r="L322" s="132"/>
      <c r="M322" s="51"/>
      <c r="N322" s="51"/>
      <c r="O322" s="51"/>
      <c r="P322" s="51"/>
      <c r="S322" s="51"/>
    </row>
    <row r="323" spans="1:19" hidden="1">
      <c r="A323" s="133">
        <v>4892210183873</v>
      </c>
      <c r="B323" s="51" t="s">
        <v>1434</v>
      </c>
      <c r="C323" s="126" t="s">
        <v>1435</v>
      </c>
      <c r="D323" s="51" t="s">
        <v>1436</v>
      </c>
      <c r="E323" s="51" t="s">
        <v>925</v>
      </c>
      <c r="F323" s="51" t="s">
        <v>1064</v>
      </c>
      <c r="G323" s="127">
        <f>(ProductMaster_iPST_iPower[[#This Row],[SellPrice (Inc. VAT)]]*100)/107</f>
        <v>4287.8504672897197</v>
      </c>
      <c r="H323" s="128">
        <v>4588</v>
      </c>
      <c r="I323" s="134" t="s">
        <v>1437</v>
      </c>
      <c r="J323" s="51"/>
      <c r="K323" s="51"/>
      <c r="L323" s="132"/>
      <c r="M323" s="51"/>
      <c r="N323" s="51"/>
      <c r="O323" s="51"/>
      <c r="P323" s="51"/>
      <c r="S323" s="51"/>
    </row>
    <row r="324" spans="1:19" hidden="1">
      <c r="A324" s="133">
        <v>4892210220585</v>
      </c>
      <c r="B324" s="51" t="s">
        <v>1438</v>
      </c>
      <c r="C324" s="126" t="s">
        <v>1439</v>
      </c>
      <c r="D324" s="51" t="s">
        <v>1440</v>
      </c>
      <c r="E324" s="51" t="s">
        <v>925</v>
      </c>
      <c r="F324" s="51" t="s">
        <v>1064</v>
      </c>
      <c r="G324" s="127">
        <f>(ProductMaster_iPST_iPower[[#This Row],[SellPrice (Inc. VAT)]]*100)/107</f>
        <v>6530.8411214953267</v>
      </c>
      <c r="H324" s="128">
        <v>6988</v>
      </c>
      <c r="I324" s="134" t="s">
        <v>1441</v>
      </c>
      <c r="J324" s="51"/>
      <c r="K324" s="51"/>
      <c r="L324" s="132"/>
      <c r="M324" s="51"/>
      <c r="N324" s="51"/>
      <c r="O324" s="51"/>
      <c r="P324" s="51"/>
      <c r="S324" s="51"/>
    </row>
    <row r="325" spans="1:19" hidden="1">
      <c r="A325" s="133">
        <v>4892210199010</v>
      </c>
      <c r="B325" s="51" t="s">
        <v>1442</v>
      </c>
      <c r="C325" s="126" t="s">
        <v>1443</v>
      </c>
      <c r="D325" s="51" t="s">
        <v>1444</v>
      </c>
      <c r="E325" s="51" t="s">
        <v>925</v>
      </c>
      <c r="F325" s="51" t="s">
        <v>1064</v>
      </c>
      <c r="G325" s="127">
        <f>(ProductMaster_iPST_iPower[[#This Row],[SellPrice (Inc. VAT)]]*100)/107</f>
        <v>7371.9626168224295</v>
      </c>
      <c r="H325" s="128">
        <v>7888</v>
      </c>
      <c r="I325" s="134" t="s">
        <v>1445</v>
      </c>
      <c r="J325" s="51"/>
      <c r="K325" s="51"/>
      <c r="L325" s="132"/>
      <c r="M325" s="51"/>
      <c r="N325" s="51"/>
      <c r="O325" s="51"/>
      <c r="P325" s="51"/>
      <c r="S325" s="51"/>
    </row>
    <row r="326" spans="1:19" hidden="1">
      <c r="A326" s="133">
        <v>4892210219107</v>
      </c>
      <c r="B326" s="51" t="s">
        <v>1446</v>
      </c>
      <c r="C326" s="126" t="s">
        <v>1447</v>
      </c>
      <c r="D326" s="51" t="s">
        <v>1448</v>
      </c>
      <c r="E326" s="51" t="s">
        <v>925</v>
      </c>
      <c r="F326" s="51" t="s">
        <v>1064</v>
      </c>
      <c r="G326" s="127">
        <f>(ProductMaster_iPST_iPower[[#This Row],[SellPrice (Inc. VAT)]]*100)/107</f>
        <v>34474.766355140186</v>
      </c>
      <c r="H326" s="128">
        <v>36888</v>
      </c>
      <c r="I326" s="134" t="s">
        <v>1449</v>
      </c>
      <c r="J326" s="51"/>
      <c r="K326" s="51"/>
      <c r="L326" s="132"/>
      <c r="M326" s="51"/>
      <c r="N326" s="51"/>
      <c r="O326" s="51"/>
      <c r="P326" s="51"/>
      <c r="S326" s="51"/>
    </row>
    <row r="327" spans="1:19" hidden="1">
      <c r="A327" s="133">
        <v>4892210156693</v>
      </c>
      <c r="B327" s="51" t="s">
        <v>1450</v>
      </c>
      <c r="C327" s="126" t="s">
        <v>1451</v>
      </c>
      <c r="D327" s="51" t="s">
        <v>1452</v>
      </c>
      <c r="E327" s="51" t="s">
        <v>925</v>
      </c>
      <c r="F327" s="51" t="s">
        <v>1064</v>
      </c>
      <c r="G327" s="127">
        <f>(ProductMaster_iPST_iPower[[#This Row],[SellPrice (Inc. VAT)]]*100)/107</f>
        <v>6904.6728971962621</v>
      </c>
      <c r="H327" s="128">
        <v>7388</v>
      </c>
      <c r="I327" s="134" t="s">
        <v>1453</v>
      </c>
      <c r="J327" s="51"/>
      <c r="K327" s="51"/>
      <c r="L327" s="132"/>
      <c r="M327" s="51"/>
      <c r="N327" s="51"/>
      <c r="O327" s="51"/>
      <c r="P327" s="51"/>
      <c r="S327" s="51"/>
    </row>
    <row r="328" spans="1:19" hidden="1">
      <c r="A328" s="133">
        <v>4892210234919</v>
      </c>
      <c r="B328" s="51" t="s">
        <v>1454</v>
      </c>
      <c r="C328" s="126" t="s">
        <v>1455</v>
      </c>
      <c r="D328" s="51" t="s">
        <v>1456</v>
      </c>
      <c r="E328" s="51" t="s">
        <v>925</v>
      </c>
      <c r="F328" s="51" t="s">
        <v>1064</v>
      </c>
      <c r="G328" s="127">
        <f>(ProductMaster_iPST_iPower[[#This Row],[SellPrice (Inc. VAT)]]*100)/107</f>
        <v>14848.598130841121</v>
      </c>
      <c r="H328" s="128">
        <v>15888</v>
      </c>
      <c r="I328" s="134" t="s">
        <v>1457</v>
      </c>
      <c r="J328" s="51"/>
      <c r="K328" s="51"/>
      <c r="L328" s="132"/>
      <c r="M328" s="51"/>
      <c r="N328" s="51"/>
      <c r="O328" s="51"/>
      <c r="P328" s="51"/>
      <c r="S328" s="51"/>
    </row>
    <row r="329" spans="1:19" hidden="1">
      <c r="A329" s="133">
        <v>4892210211767</v>
      </c>
      <c r="B329" s="51" t="s">
        <v>1458</v>
      </c>
      <c r="C329" s="126" t="s">
        <v>1459</v>
      </c>
      <c r="D329" s="51" t="s">
        <v>1460</v>
      </c>
      <c r="E329" s="51" t="s">
        <v>925</v>
      </c>
      <c r="F329" s="51" t="s">
        <v>1064</v>
      </c>
      <c r="G329" s="127">
        <f>(ProductMaster_iPST_iPower[[#This Row],[SellPrice (Inc. VAT)]]*100)/107</f>
        <v>7465.4205607476633</v>
      </c>
      <c r="H329" s="128">
        <v>7988</v>
      </c>
      <c r="I329" s="134" t="s">
        <v>1461</v>
      </c>
      <c r="J329" s="51"/>
      <c r="K329" s="51"/>
      <c r="L329" s="132"/>
      <c r="M329" s="51"/>
      <c r="N329" s="51"/>
      <c r="O329" s="51"/>
      <c r="P329" s="51"/>
      <c r="S329" s="51"/>
    </row>
    <row r="330" spans="1:19" hidden="1">
      <c r="A330" s="133">
        <v>4892210203885</v>
      </c>
      <c r="B330" s="51" t="s">
        <v>1462</v>
      </c>
      <c r="C330" s="126" t="s">
        <v>1463</v>
      </c>
      <c r="D330" s="51" t="s">
        <v>1464</v>
      </c>
      <c r="E330" s="51" t="s">
        <v>925</v>
      </c>
      <c r="F330" s="51" t="s">
        <v>1064</v>
      </c>
      <c r="G330" s="127">
        <f>(ProductMaster_iPST_iPower[[#This Row],[SellPrice (Inc. VAT)]]*100)/107</f>
        <v>12699.065420560748</v>
      </c>
      <c r="H330" s="128">
        <v>13588</v>
      </c>
      <c r="I330" s="134" t="s">
        <v>1465</v>
      </c>
      <c r="J330" s="51"/>
      <c r="K330" s="51"/>
      <c r="L330" s="132"/>
      <c r="M330" s="51"/>
      <c r="N330" s="51"/>
      <c r="O330" s="51"/>
      <c r="P330" s="51"/>
      <c r="S330" s="51"/>
    </row>
    <row r="331" spans="1:19" hidden="1">
      <c r="A331" s="133">
        <v>4892210203151</v>
      </c>
      <c r="B331" s="51" t="s">
        <v>1466</v>
      </c>
      <c r="C331" s="126" t="s">
        <v>1467</v>
      </c>
      <c r="D331" s="51" t="s">
        <v>1468</v>
      </c>
      <c r="E331" s="51" t="s">
        <v>925</v>
      </c>
      <c r="F331" s="51" t="s">
        <v>1064</v>
      </c>
      <c r="G331" s="127">
        <f>(ProductMaster_iPST_iPower[[#This Row],[SellPrice (Inc. VAT)]]*100)/107</f>
        <v>6250.467289719626</v>
      </c>
      <c r="H331" s="128">
        <v>6688</v>
      </c>
      <c r="I331" s="134" t="s">
        <v>1469</v>
      </c>
      <c r="J331" s="51"/>
      <c r="K331" s="51"/>
      <c r="L331" s="132"/>
      <c r="M331" s="51"/>
      <c r="N331" s="51"/>
      <c r="O331" s="51"/>
      <c r="P331" s="51"/>
      <c r="S331" s="51"/>
    </row>
    <row r="332" spans="1:19">
      <c r="A332" s="133">
        <v>4892210205902</v>
      </c>
      <c r="B332" s="51" t="s">
        <v>1470</v>
      </c>
      <c r="C332" s="126" t="s">
        <v>1471</v>
      </c>
      <c r="D332" s="51" t="s">
        <v>1468</v>
      </c>
      <c r="E332" s="51" t="s">
        <v>925</v>
      </c>
      <c r="F332" s="51" t="s">
        <v>1064</v>
      </c>
      <c r="G332" s="127">
        <f>(ProductMaster_iPST_iPower[[#This Row],[SellPrice (Inc. VAT)]]*100)/107</f>
        <v>6437.3831775700937</v>
      </c>
      <c r="H332" s="128">
        <v>6888</v>
      </c>
      <c r="I332" s="134" t="s">
        <v>1472</v>
      </c>
      <c r="J332" s="51"/>
      <c r="K332" s="51"/>
      <c r="L332" s="132"/>
      <c r="M332" s="51"/>
      <c r="N332" s="51"/>
      <c r="O332" s="51"/>
      <c r="P332" s="51"/>
      <c r="S332" s="51"/>
    </row>
    <row r="333" spans="1:19" hidden="1">
      <c r="A333" s="133">
        <v>4892210205896</v>
      </c>
      <c r="B333" s="51" t="s">
        <v>1473</v>
      </c>
      <c r="C333" s="126" t="s">
        <v>1474</v>
      </c>
      <c r="D333" s="51" t="s">
        <v>1475</v>
      </c>
      <c r="E333" s="51" t="s">
        <v>925</v>
      </c>
      <c r="F333" s="51" t="s">
        <v>1064</v>
      </c>
      <c r="G333" s="127">
        <f>(ProductMaster_iPST_iPower[[#This Row],[SellPrice (Inc. VAT)]]*100)/107</f>
        <v>6624.2990654205605</v>
      </c>
      <c r="H333" s="128">
        <v>7088</v>
      </c>
      <c r="I333" s="134" t="s">
        <v>1476</v>
      </c>
      <c r="J333" s="51"/>
      <c r="K333" s="51"/>
      <c r="L333" s="132"/>
      <c r="M333" s="51"/>
      <c r="N333" s="51"/>
      <c r="O333" s="51"/>
      <c r="P333" s="51"/>
      <c r="S333" s="51"/>
    </row>
    <row r="334" spans="1:19" hidden="1">
      <c r="A334" s="133">
        <v>4892210203175</v>
      </c>
      <c r="B334" s="51" t="s">
        <v>1477</v>
      </c>
      <c r="C334" s="126" t="s">
        <v>1478</v>
      </c>
      <c r="D334" s="51" t="s">
        <v>1479</v>
      </c>
      <c r="E334" s="51" t="s">
        <v>925</v>
      </c>
      <c r="F334" s="51" t="s">
        <v>1064</v>
      </c>
      <c r="G334" s="127">
        <f>(ProductMaster_iPST_iPower[[#This Row],[SellPrice (Inc. VAT)]]*100)/107</f>
        <v>6530.8411214953267</v>
      </c>
      <c r="H334" s="128">
        <v>6988</v>
      </c>
      <c r="I334" s="134" t="s">
        <v>1480</v>
      </c>
      <c r="J334" s="51"/>
      <c r="K334" s="51"/>
      <c r="L334" s="132"/>
      <c r="M334" s="51"/>
      <c r="N334" s="51"/>
      <c r="O334" s="51"/>
      <c r="P334" s="51"/>
      <c r="S334" s="51"/>
    </row>
    <row r="335" spans="1:19" hidden="1">
      <c r="A335" s="133">
        <v>4892210203182</v>
      </c>
      <c r="B335" s="51" t="s">
        <v>1481</v>
      </c>
      <c r="C335" s="126" t="s">
        <v>1482</v>
      </c>
      <c r="D335" s="51" t="s">
        <v>1483</v>
      </c>
      <c r="E335" s="51" t="s">
        <v>925</v>
      </c>
      <c r="F335" s="51" t="s">
        <v>1064</v>
      </c>
      <c r="G335" s="127">
        <f>(ProductMaster_iPST_iPower[[#This Row],[SellPrice (Inc. VAT)]]*100)/107</f>
        <v>6717.7570093457944</v>
      </c>
      <c r="H335" s="128">
        <v>7188</v>
      </c>
      <c r="I335" s="134" t="s">
        <v>1484</v>
      </c>
      <c r="J335" s="51"/>
      <c r="K335" s="51"/>
      <c r="L335" s="132"/>
      <c r="M335" s="51"/>
      <c r="N335" s="51"/>
      <c r="O335" s="51"/>
      <c r="P335" s="51"/>
      <c r="S335" s="51"/>
    </row>
    <row r="336" spans="1:19" hidden="1">
      <c r="A336" s="133">
        <v>4892210174871</v>
      </c>
      <c r="B336" s="51" t="s">
        <v>1485</v>
      </c>
      <c r="C336" s="126" t="s">
        <v>1486</v>
      </c>
      <c r="D336" s="51" t="s">
        <v>1487</v>
      </c>
      <c r="E336" s="51" t="s">
        <v>925</v>
      </c>
      <c r="F336" s="51" t="s">
        <v>1064</v>
      </c>
      <c r="G336" s="127">
        <f>(ProductMaster_iPST_iPower[[#This Row],[SellPrice (Inc. VAT)]]*100)/107</f>
        <v>9521.4953271028044</v>
      </c>
      <c r="H336" s="128">
        <v>10188</v>
      </c>
      <c r="I336" s="134" t="s">
        <v>1488</v>
      </c>
      <c r="J336" s="51"/>
      <c r="K336" s="51"/>
      <c r="L336" s="132"/>
      <c r="M336" s="51"/>
      <c r="N336" s="51"/>
      <c r="O336" s="51"/>
      <c r="P336" s="51"/>
      <c r="S336" s="51"/>
    </row>
    <row r="337" spans="1:19" hidden="1">
      <c r="A337" s="133">
        <v>4892210187055</v>
      </c>
      <c r="B337" s="51" t="s">
        <v>1489</v>
      </c>
      <c r="C337" s="126" t="s">
        <v>1490</v>
      </c>
      <c r="D337" s="51" t="s">
        <v>1491</v>
      </c>
      <c r="E337" s="51" t="s">
        <v>925</v>
      </c>
      <c r="F337" s="51" t="s">
        <v>1064</v>
      </c>
      <c r="G337" s="127">
        <f>(ProductMaster_iPST_iPower[[#This Row],[SellPrice (Inc. VAT)]]*100)/107</f>
        <v>8773.8317757009354</v>
      </c>
      <c r="H337" s="128">
        <v>9388</v>
      </c>
      <c r="I337" s="134" t="s">
        <v>1492</v>
      </c>
      <c r="J337" s="51"/>
      <c r="K337" s="51"/>
      <c r="L337" s="132"/>
      <c r="M337" s="51"/>
      <c r="N337" s="51"/>
      <c r="O337" s="51"/>
      <c r="P337" s="51"/>
      <c r="S337" s="51"/>
    </row>
    <row r="338" spans="1:19" hidden="1">
      <c r="A338" s="133">
        <v>4892210198433</v>
      </c>
      <c r="B338" s="51" t="s">
        <v>1493</v>
      </c>
      <c r="C338" s="126" t="s">
        <v>1494</v>
      </c>
      <c r="D338" s="51" t="s">
        <v>1495</v>
      </c>
      <c r="E338" s="51" t="s">
        <v>925</v>
      </c>
      <c r="F338" s="51" t="s">
        <v>1064</v>
      </c>
      <c r="G338" s="127">
        <f>(ProductMaster_iPST_iPower[[#This Row],[SellPrice (Inc. VAT)]]*100)/107</f>
        <v>21857.943925233645</v>
      </c>
      <c r="H338" s="128">
        <v>23388</v>
      </c>
      <c r="I338" s="134" t="s">
        <v>1496</v>
      </c>
      <c r="J338" s="51"/>
      <c r="K338" s="51"/>
      <c r="L338" s="132"/>
      <c r="M338" s="51"/>
      <c r="N338" s="51"/>
      <c r="O338" s="51"/>
      <c r="P338" s="51"/>
      <c r="S338" s="51"/>
    </row>
    <row r="339" spans="1:19" hidden="1">
      <c r="A339" s="133">
        <v>4892210219565</v>
      </c>
      <c r="B339" s="51" t="s">
        <v>1497</v>
      </c>
      <c r="C339" s="126" t="s">
        <v>1498</v>
      </c>
      <c r="D339" s="51" t="s">
        <v>1499</v>
      </c>
      <c r="E339" s="51" t="s">
        <v>925</v>
      </c>
      <c r="F339" s="51" t="s">
        <v>1064</v>
      </c>
      <c r="G339" s="127">
        <f>(ProductMaster_iPST_iPower[[#This Row],[SellPrice (Inc. VAT)]]*100)/107</f>
        <v>15783.177570093458</v>
      </c>
      <c r="H339" s="128">
        <v>16888</v>
      </c>
      <c r="I339" s="134" t="s">
        <v>1500</v>
      </c>
      <c r="J339" s="51"/>
      <c r="K339" s="51"/>
      <c r="L339" s="132"/>
      <c r="M339" s="51"/>
      <c r="N339" s="51"/>
      <c r="O339" s="51"/>
      <c r="P339" s="51"/>
      <c r="S339" s="51"/>
    </row>
    <row r="340" spans="1:19" hidden="1">
      <c r="A340" s="133">
        <v>4892210233608</v>
      </c>
      <c r="B340" s="51" t="s">
        <v>1501</v>
      </c>
      <c r="C340" s="126" t="s">
        <v>1502</v>
      </c>
      <c r="D340" s="51" t="s">
        <v>1503</v>
      </c>
      <c r="E340" s="51" t="s">
        <v>925</v>
      </c>
      <c r="F340" s="51" t="s">
        <v>1064</v>
      </c>
      <c r="G340" s="127">
        <f>(ProductMaster_iPST_iPower[[#This Row],[SellPrice (Inc. VAT)]]*100)/107</f>
        <v>17652.336448598129</v>
      </c>
      <c r="H340" s="128">
        <v>18888</v>
      </c>
      <c r="I340" s="134" t="s">
        <v>1504</v>
      </c>
      <c r="J340" s="51"/>
      <c r="K340" s="51"/>
      <c r="L340" s="132"/>
      <c r="M340" s="51"/>
      <c r="N340" s="51"/>
      <c r="O340" s="51"/>
      <c r="P340" s="51"/>
      <c r="S340" s="51"/>
    </row>
    <row r="341" spans="1:19" hidden="1">
      <c r="A341" s="133">
        <v>4892210179524</v>
      </c>
      <c r="B341" s="51" t="s">
        <v>1505</v>
      </c>
      <c r="C341" s="126" t="s">
        <v>1506</v>
      </c>
      <c r="D341" s="51" t="s">
        <v>1507</v>
      </c>
      <c r="E341" s="51" t="s">
        <v>925</v>
      </c>
      <c r="F341" s="51" t="s">
        <v>1064</v>
      </c>
      <c r="G341" s="127">
        <f>(ProductMaster_iPST_iPower[[#This Row],[SellPrice (Inc. VAT)]]*100)/107</f>
        <v>8493.4579439252338</v>
      </c>
      <c r="H341" s="128">
        <v>9088</v>
      </c>
      <c r="I341" s="134" t="s">
        <v>1508</v>
      </c>
      <c r="J341" s="51"/>
      <c r="K341" s="51"/>
      <c r="L341" s="132"/>
      <c r="M341" s="51"/>
      <c r="N341" s="51"/>
      <c r="O341" s="51"/>
      <c r="P341" s="51"/>
      <c r="S341" s="51"/>
    </row>
    <row r="342" spans="1:19" hidden="1">
      <c r="A342" s="133">
        <v>4892210172082</v>
      </c>
      <c r="B342" s="51" t="s">
        <v>1509</v>
      </c>
      <c r="C342" s="126" t="s">
        <v>1510</v>
      </c>
      <c r="D342" s="51" t="s">
        <v>1511</v>
      </c>
      <c r="E342" s="51" t="s">
        <v>925</v>
      </c>
      <c r="F342" s="51" t="s">
        <v>1064</v>
      </c>
      <c r="G342" s="127">
        <f>(ProductMaster_iPST_iPower[[#This Row],[SellPrice (Inc. VAT)]]*100)/107</f>
        <v>8867.2897196261674</v>
      </c>
      <c r="H342" s="128">
        <v>9488</v>
      </c>
      <c r="I342" s="134" t="s">
        <v>1512</v>
      </c>
      <c r="J342" s="51"/>
      <c r="K342" s="51"/>
      <c r="L342" s="132"/>
      <c r="M342" s="51"/>
      <c r="N342" s="51"/>
      <c r="O342" s="51"/>
      <c r="P342" s="51"/>
      <c r="S342" s="51"/>
    </row>
    <row r="343" spans="1:19" hidden="1">
      <c r="A343" s="133">
        <v>4892210182517</v>
      </c>
      <c r="B343" s="51" t="s">
        <v>1513</v>
      </c>
      <c r="C343" s="126" t="s">
        <v>1514</v>
      </c>
      <c r="D343" s="51" t="s">
        <v>1515</v>
      </c>
      <c r="E343" s="51" t="s">
        <v>925</v>
      </c>
      <c r="F343" s="51" t="s">
        <v>1064</v>
      </c>
      <c r="G343" s="127">
        <f>(ProductMaster_iPST_iPower[[#This Row],[SellPrice (Inc. VAT)]]*100)/107</f>
        <v>2792.5233644859813</v>
      </c>
      <c r="H343" s="128">
        <v>2988</v>
      </c>
      <c r="I343" s="134" t="s">
        <v>1516</v>
      </c>
      <c r="J343" s="51"/>
      <c r="K343" s="51"/>
      <c r="L343" s="132"/>
      <c r="M343" s="51"/>
      <c r="N343" s="51"/>
      <c r="O343" s="51"/>
      <c r="P343" s="51"/>
      <c r="S343" s="51"/>
    </row>
    <row r="344" spans="1:19" hidden="1">
      <c r="A344" s="133">
        <v>4892210180988</v>
      </c>
      <c r="B344" s="51" t="s">
        <v>1517</v>
      </c>
      <c r="C344" s="126" t="s">
        <v>1518</v>
      </c>
      <c r="D344" s="51" t="s">
        <v>1519</v>
      </c>
      <c r="E344" s="51" t="s">
        <v>925</v>
      </c>
      <c r="F344" s="51" t="s">
        <v>1064</v>
      </c>
      <c r="G344" s="127">
        <f>(ProductMaster_iPST_iPower[[#This Row],[SellPrice (Inc. VAT)]]*100)/107</f>
        <v>5596.2616822429909</v>
      </c>
      <c r="H344" s="128">
        <v>5988</v>
      </c>
      <c r="I344" s="134" t="s">
        <v>1520</v>
      </c>
      <c r="J344" s="51"/>
      <c r="K344" s="51"/>
      <c r="L344" s="132"/>
      <c r="M344" s="51"/>
      <c r="N344" s="51"/>
      <c r="O344" s="51"/>
      <c r="P344" s="51"/>
      <c r="S344" s="51"/>
    </row>
    <row r="345" spans="1:19" hidden="1">
      <c r="A345" s="133">
        <v>4892210172075</v>
      </c>
      <c r="B345" s="51" t="s">
        <v>1521</v>
      </c>
      <c r="C345" s="126" t="s">
        <v>1522</v>
      </c>
      <c r="D345" s="51" t="s">
        <v>1523</v>
      </c>
      <c r="E345" s="51" t="s">
        <v>925</v>
      </c>
      <c r="F345" s="51" t="s">
        <v>1064</v>
      </c>
      <c r="G345" s="127">
        <f>(ProductMaster_iPST_iPower[[#This Row],[SellPrice (Inc. VAT)]]*100)/107</f>
        <v>48026.168224299065</v>
      </c>
      <c r="H345" s="128">
        <v>51388</v>
      </c>
      <c r="I345" s="134" t="s">
        <v>1524</v>
      </c>
      <c r="J345" s="51"/>
      <c r="K345" s="51"/>
      <c r="L345" s="132"/>
      <c r="M345" s="51"/>
      <c r="N345" s="51"/>
      <c r="O345" s="51"/>
      <c r="P345" s="51"/>
      <c r="S345" s="51"/>
    </row>
    <row r="346" spans="1:19" hidden="1">
      <c r="A346" s="133">
        <v>4892210156730</v>
      </c>
      <c r="B346" s="51" t="s">
        <v>1525</v>
      </c>
      <c r="C346" s="126" t="s">
        <v>1526</v>
      </c>
      <c r="D346" s="51" t="s">
        <v>1527</v>
      </c>
      <c r="E346" s="51" t="s">
        <v>925</v>
      </c>
      <c r="F346" s="51" t="s">
        <v>1064</v>
      </c>
      <c r="G346" s="127">
        <f>(ProductMaster_iPST_iPower[[#This Row],[SellPrice (Inc. VAT)]]*100)/107</f>
        <v>87278.504672897194</v>
      </c>
      <c r="H346" s="128">
        <v>93388</v>
      </c>
      <c r="I346" s="134" t="s">
        <v>1528</v>
      </c>
      <c r="J346" s="51"/>
      <c r="K346" s="51"/>
      <c r="L346" s="132"/>
      <c r="M346" s="51"/>
      <c r="N346" s="51"/>
      <c r="O346" s="51"/>
      <c r="P346" s="51"/>
      <c r="S346" s="51"/>
    </row>
    <row r="347" spans="1:19" hidden="1">
      <c r="A347" s="133">
        <v>4892210156716</v>
      </c>
      <c r="B347" s="51" t="s">
        <v>1529</v>
      </c>
      <c r="C347" s="126" t="s">
        <v>1530</v>
      </c>
      <c r="D347" s="51" t="s">
        <v>1531</v>
      </c>
      <c r="E347" s="51" t="s">
        <v>925</v>
      </c>
      <c r="F347" s="51" t="s">
        <v>1064</v>
      </c>
      <c r="G347" s="127">
        <f>(ProductMaster_iPST_iPower[[#This Row],[SellPrice (Inc. VAT)]]*100)/107</f>
        <v>116717.75700934579</v>
      </c>
      <c r="H347" s="128">
        <v>124888</v>
      </c>
      <c r="I347" s="134" t="s">
        <v>1532</v>
      </c>
      <c r="J347" s="51"/>
      <c r="K347" s="51"/>
      <c r="L347" s="132"/>
      <c r="M347" s="51"/>
      <c r="N347" s="51"/>
      <c r="O347" s="51"/>
      <c r="P347" s="51"/>
      <c r="S347" s="51"/>
    </row>
    <row r="348" spans="1:19" hidden="1">
      <c r="A348" s="133">
        <v>4892210170781</v>
      </c>
      <c r="B348" s="51" t="s">
        <v>1533</v>
      </c>
      <c r="C348" s="126" t="s">
        <v>1534</v>
      </c>
      <c r="D348" s="51" t="s">
        <v>1535</v>
      </c>
      <c r="E348" s="51" t="s">
        <v>925</v>
      </c>
      <c r="F348" s="51" t="s">
        <v>1064</v>
      </c>
      <c r="G348" s="127">
        <f>(ProductMaster_iPST_iPower[[#This Row],[SellPrice (Inc. VAT)]]*100)/107</f>
        <v>48026.168224299065</v>
      </c>
      <c r="H348" s="128">
        <v>51388</v>
      </c>
      <c r="I348" s="134" t="s">
        <v>1536</v>
      </c>
      <c r="J348" s="51"/>
      <c r="K348" s="51"/>
      <c r="L348" s="132"/>
      <c r="M348" s="51"/>
      <c r="N348" s="51"/>
      <c r="O348" s="51"/>
      <c r="P348" s="51"/>
      <c r="S348" s="51"/>
    </row>
    <row r="349" spans="1:19" hidden="1">
      <c r="A349" s="133">
        <v>4892210157201</v>
      </c>
      <c r="B349" s="51" t="s">
        <v>1537</v>
      </c>
      <c r="C349" s="126" t="s">
        <v>1538</v>
      </c>
      <c r="D349" s="51" t="s">
        <v>1539</v>
      </c>
      <c r="E349" s="51" t="s">
        <v>925</v>
      </c>
      <c r="F349" s="51" t="s">
        <v>1064</v>
      </c>
      <c r="G349" s="127">
        <f>(ProductMaster_iPST_iPower[[#This Row],[SellPrice (Inc. VAT)]]*100)/107</f>
        <v>87278.504672897194</v>
      </c>
      <c r="H349" s="128">
        <v>93388</v>
      </c>
      <c r="I349" s="134" t="s">
        <v>1540</v>
      </c>
      <c r="J349" s="51"/>
      <c r="K349" s="51"/>
      <c r="L349" s="132"/>
      <c r="M349" s="51"/>
      <c r="N349" s="51"/>
      <c r="O349" s="51"/>
      <c r="P349" s="51"/>
      <c r="S349" s="51"/>
    </row>
    <row r="350" spans="1:19" hidden="1">
      <c r="A350" s="133">
        <v>4892210203649</v>
      </c>
      <c r="B350" s="51" t="s">
        <v>1541</v>
      </c>
      <c r="C350" s="126" t="s">
        <v>1542</v>
      </c>
      <c r="D350" s="51" t="s">
        <v>989</v>
      </c>
      <c r="E350" s="51" t="s">
        <v>925</v>
      </c>
      <c r="F350" s="51" t="s">
        <v>1064</v>
      </c>
      <c r="G350" s="127">
        <f>(ProductMaster_iPST_iPower[[#This Row],[SellPrice (Inc. VAT)]]*100)/107</f>
        <v>16717.757009345794</v>
      </c>
      <c r="H350" s="128">
        <v>17888</v>
      </c>
      <c r="I350" s="134" t="s">
        <v>1543</v>
      </c>
      <c r="J350" s="51"/>
      <c r="K350" s="51"/>
      <c r="L350" s="132"/>
      <c r="M350" s="51"/>
      <c r="N350" s="51"/>
      <c r="O350" s="51"/>
      <c r="P350" s="51"/>
      <c r="S350" s="51"/>
    </row>
    <row r="351" spans="1:19" hidden="1">
      <c r="A351" s="133">
        <v>4892210144133</v>
      </c>
      <c r="B351" s="51" t="s">
        <v>1544</v>
      </c>
      <c r="C351" s="126" t="s">
        <v>1545</v>
      </c>
      <c r="D351" s="51" t="s">
        <v>1546</v>
      </c>
      <c r="E351" s="51" t="s">
        <v>925</v>
      </c>
      <c r="F351" s="51" t="s">
        <v>1064</v>
      </c>
      <c r="G351" s="127">
        <f>(ProductMaster_iPST_iPower[[#This Row],[SellPrice (Inc. VAT)]]*100)/107</f>
        <v>3633.6448598130842</v>
      </c>
      <c r="H351" s="128">
        <v>3888</v>
      </c>
      <c r="I351" s="134" t="s">
        <v>1547</v>
      </c>
      <c r="J351" s="51"/>
      <c r="K351" s="51"/>
      <c r="L351" s="132"/>
      <c r="M351" s="51"/>
      <c r="N351" s="51"/>
      <c r="O351" s="51"/>
      <c r="P351" s="51"/>
      <c r="S351" s="51"/>
    </row>
    <row r="352" spans="1:19" hidden="1">
      <c r="A352" s="133">
        <v>4892210211347</v>
      </c>
      <c r="B352" s="51" t="s">
        <v>1548</v>
      </c>
      <c r="C352" s="126" t="s">
        <v>1549</v>
      </c>
      <c r="D352" s="51" t="s">
        <v>1550</v>
      </c>
      <c r="E352" s="51" t="s">
        <v>925</v>
      </c>
      <c r="F352" s="51" t="s">
        <v>1064</v>
      </c>
      <c r="G352" s="127">
        <f>(ProductMaster_iPST_iPower[[#This Row],[SellPrice (Inc. VAT)]]*100)/107</f>
        <v>13727.102803738318</v>
      </c>
      <c r="H352" s="128">
        <v>14688</v>
      </c>
      <c r="I352" s="134" t="s">
        <v>1551</v>
      </c>
      <c r="J352" s="51"/>
      <c r="K352" s="51"/>
      <c r="L352" s="132"/>
      <c r="M352" s="51"/>
      <c r="N352" s="51"/>
      <c r="O352" s="51"/>
      <c r="P352" s="51"/>
      <c r="S352" s="51"/>
    </row>
    <row r="353" spans="1:19" hidden="1">
      <c r="A353" s="133">
        <v>4892210196286</v>
      </c>
      <c r="B353" s="51" t="s">
        <v>1552</v>
      </c>
      <c r="C353" s="126" t="s">
        <v>1553</v>
      </c>
      <c r="D353" s="51" t="s">
        <v>1554</v>
      </c>
      <c r="E353" s="51" t="s">
        <v>925</v>
      </c>
      <c r="F353" s="51" t="s">
        <v>1064</v>
      </c>
      <c r="G353" s="127">
        <f>(ProductMaster_iPST_iPower[[#This Row],[SellPrice (Inc. VAT)]]*100)/107</f>
        <v>22792.52336448598</v>
      </c>
      <c r="H353" s="128">
        <v>24388</v>
      </c>
      <c r="I353" s="134" t="s">
        <v>1555</v>
      </c>
      <c r="J353" s="51"/>
      <c r="K353" s="51"/>
      <c r="L353" s="132"/>
      <c r="M353" s="51"/>
      <c r="N353" s="51"/>
      <c r="O353" s="51"/>
      <c r="P353" s="51"/>
      <c r="S353" s="51"/>
    </row>
    <row r="354" spans="1:19" hidden="1">
      <c r="A354" s="133">
        <v>4892210196323</v>
      </c>
      <c r="B354" s="51" t="s">
        <v>1556</v>
      </c>
      <c r="C354" s="126" t="s">
        <v>1557</v>
      </c>
      <c r="D354" s="51" t="s">
        <v>1558</v>
      </c>
      <c r="E354" s="51" t="s">
        <v>925</v>
      </c>
      <c r="F354" s="51" t="s">
        <v>1064</v>
      </c>
      <c r="G354" s="127">
        <f>(ProductMaster_iPST_iPower[[#This Row],[SellPrice (Inc. VAT)]]*100)/107</f>
        <v>21857.943925233645</v>
      </c>
      <c r="H354" s="128">
        <v>23388</v>
      </c>
      <c r="I354" s="134" t="s">
        <v>1559</v>
      </c>
      <c r="J354" s="51"/>
      <c r="K354" s="51"/>
      <c r="L354" s="132"/>
      <c r="M354" s="51"/>
      <c r="N354" s="51"/>
      <c r="O354" s="51"/>
      <c r="P354" s="51"/>
      <c r="S354" s="51"/>
    </row>
    <row r="355" spans="1:19" hidden="1">
      <c r="A355" s="133">
        <v>4892210218971</v>
      </c>
      <c r="B355" s="51" t="s">
        <v>1560</v>
      </c>
      <c r="C355" s="126" t="s">
        <v>1561</v>
      </c>
      <c r="D355" s="51" t="s">
        <v>1562</v>
      </c>
      <c r="E355" s="51" t="s">
        <v>925</v>
      </c>
      <c r="F355" s="51" t="s">
        <v>1064</v>
      </c>
      <c r="G355" s="127">
        <f>(ProductMaster_iPST_iPower[[#This Row],[SellPrice (Inc. VAT)]]*100)/107</f>
        <v>58773.831775700935</v>
      </c>
      <c r="H355" s="128">
        <v>62888</v>
      </c>
      <c r="I355" s="134" t="s">
        <v>1563</v>
      </c>
      <c r="J355" s="51"/>
      <c r="K355" s="51"/>
      <c r="L355" s="132"/>
      <c r="M355" s="51"/>
      <c r="N355" s="51"/>
      <c r="O355" s="51"/>
      <c r="P355" s="51"/>
      <c r="S355" s="51"/>
    </row>
    <row r="356" spans="1:19" hidden="1">
      <c r="A356" s="133">
        <v>4892210192561</v>
      </c>
      <c r="B356" s="51" t="s">
        <v>1564</v>
      </c>
      <c r="C356" s="126" t="s">
        <v>1565</v>
      </c>
      <c r="D356" s="51" t="s">
        <v>1566</v>
      </c>
      <c r="E356" s="51" t="s">
        <v>925</v>
      </c>
      <c r="F356" s="51" t="s">
        <v>1064</v>
      </c>
      <c r="G356" s="127">
        <f>(ProductMaster_iPST_iPower[[#This Row],[SellPrice (Inc. VAT)]]*100)/107</f>
        <v>21390.654205607476</v>
      </c>
      <c r="H356" s="128">
        <v>22888</v>
      </c>
      <c r="I356" s="134" t="s">
        <v>1567</v>
      </c>
      <c r="J356" s="51"/>
      <c r="K356" s="51"/>
      <c r="L356" s="132"/>
      <c r="M356" s="51"/>
      <c r="N356" s="51"/>
      <c r="O356" s="51"/>
      <c r="P356" s="51"/>
      <c r="S356" s="51"/>
    </row>
    <row r="357" spans="1:19" hidden="1">
      <c r="A357" s="133">
        <v>4892210194817</v>
      </c>
      <c r="B357" s="51" t="s">
        <v>1568</v>
      </c>
      <c r="C357" s="126" t="s">
        <v>1569</v>
      </c>
      <c r="D357" s="51" t="s">
        <v>1570</v>
      </c>
      <c r="E357" s="51" t="s">
        <v>925</v>
      </c>
      <c r="F357" s="51" t="s">
        <v>1064</v>
      </c>
      <c r="G357" s="127">
        <f>(ProductMaster_iPST_iPower[[#This Row],[SellPrice (Inc. VAT)]]*100)/107</f>
        <v>5502.8037383177571</v>
      </c>
      <c r="H357" s="128">
        <v>5888</v>
      </c>
      <c r="I357" s="134" t="s">
        <v>1571</v>
      </c>
      <c r="J357" s="51"/>
      <c r="K357" s="51"/>
      <c r="L357" s="132"/>
      <c r="M357" s="51"/>
      <c r="N357" s="51"/>
      <c r="O357" s="51"/>
      <c r="P357" s="51"/>
      <c r="S357" s="51"/>
    </row>
    <row r="358" spans="1:19" hidden="1">
      <c r="A358" s="133">
        <v>4892210196569</v>
      </c>
      <c r="B358" s="51" t="s">
        <v>1572</v>
      </c>
      <c r="C358" s="126" t="s">
        <v>1573</v>
      </c>
      <c r="D358" s="51" t="s">
        <v>1574</v>
      </c>
      <c r="E358" s="51" t="s">
        <v>925</v>
      </c>
      <c r="F358" s="51" t="s">
        <v>1064</v>
      </c>
      <c r="G358" s="127">
        <f>(ProductMaster_iPST_iPower[[#This Row],[SellPrice (Inc. VAT)]]*100)/107</f>
        <v>9241.1214953271028</v>
      </c>
      <c r="H358" s="128">
        <v>9888</v>
      </c>
      <c r="I358" s="134" t="s">
        <v>1575</v>
      </c>
      <c r="J358" s="51"/>
      <c r="K358" s="51"/>
      <c r="L358" s="132"/>
      <c r="M358" s="51"/>
      <c r="N358" s="51"/>
      <c r="O358" s="51"/>
      <c r="P358" s="51"/>
      <c r="S358" s="51"/>
    </row>
    <row r="359" spans="1:19" hidden="1">
      <c r="A359" s="133"/>
      <c r="B359" s="51" t="s">
        <v>1576</v>
      </c>
      <c r="C359" s="126" t="s">
        <v>1577</v>
      </c>
      <c r="D359" s="51" t="s">
        <v>1578</v>
      </c>
      <c r="E359" s="51" t="s">
        <v>925</v>
      </c>
      <c r="F359" s="51" t="s">
        <v>1064</v>
      </c>
      <c r="G359" s="127">
        <f>(ProductMaster_iPST_iPower[[#This Row],[SellPrice (Inc. VAT)]]*100)/107</f>
        <v>10175.700934579439</v>
      </c>
      <c r="H359" s="128">
        <v>10888</v>
      </c>
      <c r="I359" s="135" t="s">
        <v>1579</v>
      </c>
      <c r="J359" s="51"/>
      <c r="K359" s="51"/>
      <c r="L359" s="132"/>
      <c r="M359" s="51"/>
      <c r="N359" s="51"/>
      <c r="O359" s="51"/>
      <c r="P359" s="51"/>
      <c r="S359" s="51"/>
    </row>
    <row r="360" spans="1:19" hidden="1">
      <c r="A360" s="133">
        <v>4573592040021</v>
      </c>
      <c r="B360" s="51" t="s">
        <v>1580</v>
      </c>
      <c r="C360" s="126" t="s">
        <v>1581</v>
      </c>
      <c r="D360" s="51" t="s">
        <v>1582</v>
      </c>
      <c r="E360" s="51" t="s">
        <v>925</v>
      </c>
      <c r="F360" s="51" t="s">
        <v>1064</v>
      </c>
      <c r="G360" s="127">
        <f>(ProductMaster_iPST_iPower[[#This Row],[SellPrice (Inc. VAT)]]*100)/107</f>
        <v>5035.5140186915887</v>
      </c>
      <c r="H360" s="128">
        <v>5388</v>
      </c>
      <c r="I360" s="134" t="s">
        <v>1583</v>
      </c>
      <c r="J360" s="51"/>
      <c r="K360" s="51"/>
      <c r="L360" s="132"/>
      <c r="M360" s="51"/>
      <c r="N360" s="51"/>
      <c r="O360" s="51"/>
      <c r="P360" s="51"/>
      <c r="S360" s="51"/>
    </row>
    <row r="361" spans="1:19" hidden="1">
      <c r="A361" s="133">
        <v>4892210193339</v>
      </c>
      <c r="B361" s="51" t="s">
        <v>1584</v>
      </c>
      <c r="C361" s="126" t="s">
        <v>1585</v>
      </c>
      <c r="D361" s="51" t="s">
        <v>1586</v>
      </c>
      <c r="E361" s="51" t="s">
        <v>925</v>
      </c>
      <c r="F361" s="51" t="s">
        <v>1064</v>
      </c>
      <c r="G361" s="127">
        <f>(ProductMaster_iPST_iPower[[#This Row],[SellPrice (Inc. VAT)]]*100)/107</f>
        <v>5502.8037383177571</v>
      </c>
      <c r="H361" s="128">
        <v>5888</v>
      </c>
      <c r="I361" s="134" t="s">
        <v>1587</v>
      </c>
      <c r="J361" s="51"/>
      <c r="K361" s="51"/>
      <c r="L361" s="132"/>
      <c r="M361" s="51"/>
      <c r="N361" s="51"/>
      <c r="O361" s="51"/>
      <c r="P361" s="51"/>
      <c r="S361" s="51"/>
    </row>
    <row r="362" spans="1:19" hidden="1">
      <c r="A362" s="133">
        <v>4892210156792</v>
      </c>
      <c r="B362" s="51" t="s">
        <v>1588</v>
      </c>
      <c r="C362" s="126" t="s">
        <v>1589</v>
      </c>
      <c r="D362" s="51" t="s">
        <v>1590</v>
      </c>
      <c r="E362" s="51" t="s">
        <v>925</v>
      </c>
      <c r="F362" s="51" t="s">
        <v>1064</v>
      </c>
      <c r="G362" s="127">
        <f>(ProductMaster_iPST_iPower[[#This Row],[SellPrice (Inc. VAT)]]*100)/107</f>
        <v>13914.018691588784</v>
      </c>
      <c r="H362" s="128">
        <v>14888</v>
      </c>
      <c r="I362" s="134" t="s">
        <v>1591</v>
      </c>
      <c r="J362" s="51"/>
      <c r="K362" s="51"/>
      <c r="L362" s="132"/>
      <c r="M362" s="51"/>
      <c r="N362" s="51"/>
      <c r="O362" s="51"/>
      <c r="P362" s="51"/>
      <c r="S362" s="51"/>
    </row>
    <row r="363" spans="1:19" hidden="1">
      <c r="A363" s="133">
        <v>4892210163974</v>
      </c>
      <c r="B363" s="51" t="s">
        <v>1592</v>
      </c>
      <c r="C363" s="126" t="s">
        <v>1593</v>
      </c>
      <c r="D363" s="51" t="s">
        <v>1594</v>
      </c>
      <c r="E363" s="51" t="s">
        <v>925</v>
      </c>
      <c r="F363" s="51" t="s">
        <v>1064</v>
      </c>
      <c r="G363" s="127">
        <f>(ProductMaster_iPST_iPower[[#This Row],[SellPrice (Inc. VAT)]]*100)/107</f>
        <v>4381.3084112149536</v>
      </c>
      <c r="H363" s="128">
        <v>4688</v>
      </c>
      <c r="I363" s="134" t="s">
        <v>1595</v>
      </c>
      <c r="J363" s="51"/>
      <c r="K363" s="51"/>
      <c r="L363" s="132"/>
      <c r="M363" s="51"/>
      <c r="N363" s="51"/>
      <c r="O363" s="51"/>
      <c r="P363" s="51"/>
      <c r="S363" s="51"/>
    </row>
    <row r="364" spans="1:19" hidden="1">
      <c r="A364" s="133">
        <v>4892210163387</v>
      </c>
      <c r="B364" s="51" t="s">
        <v>1596</v>
      </c>
      <c r="C364" s="126" t="s">
        <v>1597</v>
      </c>
      <c r="D364" s="51" t="s">
        <v>1598</v>
      </c>
      <c r="E364" s="51" t="s">
        <v>925</v>
      </c>
      <c r="F364" s="51" t="s">
        <v>1064</v>
      </c>
      <c r="G364" s="127">
        <f>(ProductMaster_iPST_iPower[[#This Row],[SellPrice (Inc. VAT)]]*100)/107</f>
        <v>9334.5794392523367</v>
      </c>
      <c r="H364" s="128">
        <v>9988</v>
      </c>
      <c r="I364" s="134" t="s">
        <v>1599</v>
      </c>
      <c r="J364" s="51"/>
      <c r="K364" s="51"/>
      <c r="L364" s="132"/>
      <c r="M364" s="51"/>
      <c r="N364" s="51"/>
      <c r="O364" s="51"/>
      <c r="P364" s="51"/>
      <c r="S364" s="51"/>
    </row>
    <row r="365" spans="1:19" hidden="1">
      <c r="A365" s="133"/>
      <c r="B365" s="51" t="s">
        <v>1600</v>
      </c>
      <c r="C365" s="126" t="s">
        <v>1601</v>
      </c>
      <c r="D365" s="51" t="s">
        <v>1602</v>
      </c>
      <c r="E365" s="51" t="s">
        <v>925</v>
      </c>
      <c r="F365" s="51" t="s">
        <v>1064</v>
      </c>
      <c r="G365" s="127">
        <f>(ProductMaster_iPST_iPower[[#This Row],[SellPrice (Inc. VAT)]]*100)/107</f>
        <v>53072.897196261685</v>
      </c>
      <c r="H365" s="128">
        <v>56788</v>
      </c>
      <c r="I365" s="135" t="e">
        <v>#N/A</v>
      </c>
      <c r="J365" s="51"/>
      <c r="K365" s="51"/>
      <c r="L365" s="132"/>
      <c r="M365" s="51"/>
      <c r="N365" s="51"/>
      <c r="O365" s="51"/>
      <c r="P365" s="51"/>
      <c r="S365" s="51"/>
    </row>
    <row r="366" spans="1:19" hidden="1">
      <c r="A366" s="133"/>
      <c r="B366" s="51" t="s">
        <v>1603</v>
      </c>
      <c r="C366" s="126" t="s">
        <v>1604</v>
      </c>
      <c r="D366" s="51" t="s">
        <v>1605</v>
      </c>
      <c r="E366" s="51" t="s">
        <v>925</v>
      </c>
      <c r="F366" s="51" t="s">
        <v>1064</v>
      </c>
      <c r="G366" s="127">
        <f>(ProductMaster_iPST_iPower[[#This Row],[SellPrice (Inc. VAT)]]*100)/107</f>
        <v>116717.75700934579</v>
      </c>
      <c r="H366" s="128">
        <v>124888</v>
      </c>
      <c r="I366" s="135" t="s">
        <v>1579</v>
      </c>
      <c r="J366" s="51"/>
      <c r="K366" s="51"/>
      <c r="L366" s="132"/>
      <c r="M366" s="51"/>
      <c r="N366" s="51"/>
      <c r="O366" s="51"/>
      <c r="P366" s="51"/>
      <c r="S366" s="51"/>
    </row>
    <row r="367" spans="1:19" hidden="1">
      <c r="A367" s="136">
        <v>4892210238092</v>
      </c>
      <c r="B367" s="51" t="s">
        <v>1606</v>
      </c>
      <c r="C367" s="126" t="s">
        <v>1607</v>
      </c>
      <c r="D367" s="51" t="s">
        <v>1608</v>
      </c>
      <c r="E367" s="51" t="s">
        <v>925</v>
      </c>
      <c r="F367" s="51" t="s">
        <v>1064</v>
      </c>
      <c r="G367" s="127">
        <f>(ProductMaster_iPST_iPower[[#This Row],[SellPrice (Inc. VAT)]]*100)/107</f>
        <v>63353.271028037387</v>
      </c>
      <c r="H367" s="128">
        <v>67788</v>
      </c>
      <c r="I367" s="134" t="s">
        <v>1609</v>
      </c>
      <c r="J367" s="51"/>
      <c r="K367" s="51"/>
      <c r="L367" s="132"/>
      <c r="M367" s="51"/>
      <c r="N367" s="51"/>
      <c r="O367" s="51"/>
      <c r="P367" s="51"/>
      <c r="S367" s="51"/>
    </row>
    <row r="368" spans="1:19" hidden="1">
      <c r="A368" s="133">
        <v>4892210221216</v>
      </c>
      <c r="B368" s="51" t="s">
        <v>1610</v>
      </c>
      <c r="C368" s="126" t="s">
        <v>1611</v>
      </c>
      <c r="D368" s="51" t="s">
        <v>1612</v>
      </c>
      <c r="E368" s="51" t="s">
        <v>925</v>
      </c>
      <c r="F368" s="51" t="s">
        <v>1064</v>
      </c>
      <c r="G368" s="127">
        <f>(ProductMaster_iPST_iPower[[#This Row],[SellPrice (Inc. VAT)]]*100)/107</f>
        <v>60642.990654205605</v>
      </c>
      <c r="H368" s="128">
        <v>64888</v>
      </c>
      <c r="I368" s="134" t="s">
        <v>1613</v>
      </c>
      <c r="J368" s="51"/>
      <c r="K368" s="51"/>
      <c r="L368" s="132"/>
      <c r="M368" s="51"/>
      <c r="N368" s="51"/>
      <c r="O368" s="51"/>
      <c r="P368" s="51"/>
      <c r="S368" s="51"/>
    </row>
    <row r="369" spans="1:19" hidden="1">
      <c r="A369" s="136">
        <v>4892210228079</v>
      </c>
      <c r="B369" s="51" t="s">
        <v>1614</v>
      </c>
      <c r="C369" s="126" t="s">
        <v>1615</v>
      </c>
      <c r="D369" s="51" t="s">
        <v>1616</v>
      </c>
      <c r="E369" s="51" t="s">
        <v>925</v>
      </c>
      <c r="F369" s="51" t="s">
        <v>1064</v>
      </c>
      <c r="G369" s="127">
        <f>(ProductMaster_iPST_iPower[[#This Row],[SellPrice (Inc. VAT)]]*100)/107</f>
        <v>22044.859813084113</v>
      </c>
      <c r="H369" s="128">
        <v>23588</v>
      </c>
      <c r="I369" s="134" t="s">
        <v>1617</v>
      </c>
      <c r="J369" s="51"/>
      <c r="K369" s="51"/>
      <c r="L369" s="132"/>
      <c r="M369" s="51"/>
      <c r="N369" s="51"/>
      <c r="O369" s="51"/>
      <c r="P369" s="51"/>
      <c r="S369" s="51"/>
    </row>
    <row r="370" spans="1:19" hidden="1">
      <c r="A370" s="133">
        <v>4892210202161</v>
      </c>
      <c r="B370" s="51" t="s">
        <v>1618</v>
      </c>
      <c r="C370" s="126" t="s">
        <v>1619</v>
      </c>
      <c r="D370" s="51" t="s">
        <v>1620</v>
      </c>
      <c r="E370" s="51" t="s">
        <v>925</v>
      </c>
      <c r="F370" s="51" t="s">
        <v>1064</v>
      </c>
      <c r="G370" s="127">
        <f>(ProductMaster_iPST_iPower[[#This Row],[SellPrice (Inc. VAT)]]*100)/107</f>
        <v>176530.84112149532</v>
      </c>
      <c r="H370" s="128">
        <v>188888</v>
      </c>
      <c r="I370" s="134" t="s">
        <v>1621</v>
      </c>
      <c r="J370" s="51"/>
      <c r="K370" s="51"/>
      <c r="L370" s="132"/>
      <c r="M370" s="51"/>
      <c r="N370" s="51"/>
      <c r="O370" s="51"/>
      <c r="P370" s="51"/>
      <c r="S370" s="51"/>
    </row>
    <row r="371" spans="1:19" hidden="1">
      <c r="A371" s="133">
        <v>4892210190338</v>
      </c>
      <c r="B371" s="51" t="s">
        <v>1622</v>
      </c>
      <c r="C371" s="126" t="s">
        <v>1623</v>
      </c>
      <c r="D371" s="51" t="s">
        <v>1624</v>
      </c>
      <c r="E371" s="51" t="s">
        <v>925</v>
      </c>
      <c r="F371" s="51" t="s">
        <v>1064</v>
      </c>
      <c r="G371" s="127">
        <f>(ProductMaster_iPST_iPower[[#This Row],[SellPrice (Inc. VAT)]]*100)/107</f>
        <v>29614.953271028036</v>
      </c>
      <c r="H371" s="128">
        <v>31688</v>
      </c>
      <c r="I371" s="134" t="s">
        <v>1625</v>
      </c>
      <c r="J371" s="51"/>
      <c r="K371" s="51"/>
      <c r="L371" s="132"/>
      <c r="M371" s="51"/>
      <c r="N371" s="51"/>
      <c r="O371" s="51"/>
      <c r="P371" s="51"/>
      <c r="S371" s="51"/>
    </row>
    <row r="372" spans="1:19" hidden="1">
      <c r="A372" s="133"/>
      <c r="B372" s="51" t="s">
        <v>1626</v>
      </c>
      <c r="C372" s="126" t="s">
        <v>1627</v>
      </c>
      <c r="D372" s="51" t="s">
        <v>1628</v>
      </c>
      <c r="E372" s="51" t="s">
        <v>171</v>
      </c>
      <c r="F372" s="51" t="s">
        <v>1064</v>
      </c>
      <c r="G372" s="127">
        <f>(ProductMaster_iPST_iPower[[#This Row],[SellPrice (Inc. VAT)]]*100)/107</f>
        <v>4568.2242990654204</v>
      </c>
      <c r="H372" s="128">
        <v>4888</v>
      </c>
      <c r="I372" s="135" t="s">
        <v>1579</v>
      </c>
      <c r="J372" s="51"/>
      <c r="K372" s="51"/>
      <c r="L372" s="132"/>
      <c r="M372" s="51"/>
      <c r="N372" s="51"/>
      <c r="O372" s="51"/>
      <c r="P372" s="51"/>
      <c r="S372" s="51"/>
    </row>
    <row r="373" spans="1:19" hidden="1">
      <c r="A373" s="133">
        <v>4058546221720</v>
      </c>
      <c r="B373" s="51" t="s">
        <v>1629</v>
      </c>
      <c r="C373" s="126" t="s">
        <v>1630</v>
      </c>
      <c r="D373" s="51" t="s">
        <v>1631</v>
      </c>
      <c r="E373" s="51" t="s">
        <v>171</v>
      </c>
      <c r="F373" s="51" t="s">
        <v>1064</v>
      </c>
      <c r="G373" s="127">
        <f>(ProductMaster_iPST_iPower[[#This Row],[SellPrice (Inc. VAT)]]*100)/107</f>
        <v>4166.3551401869163</v>
      </c>
      <c r="H373" s="128">
        <v>4458</v>
      </c>
      <c r="I373" s="134" t="s">
        <v>1632</v>
      </c>
      <c r="J373" s="51"/>
      <c r="K373" s="51"/>
      <c r="L373" s="132"/>
      <c r="M373" s="51"/>
      <c r="N373" s="51"/>
      <c r="O373" s="51"/>
      <c r="P373" s="51"/>
      <c r="S373" s="51"/>
    </row>
    <row r="374" spans="1:19" hidden="1">
      <c r="A374" s="133"/>
      <c r="B374" s="51" t="s">
        <v>1633</v>
      </c>
      <c r="C374" s="126" t="s">
        <v>1633</v>
      </c>
      <c r="D374" s="51" t="s">
        <v>1634</v>
      </c>
      <c r="E374" s="51" t="s">
        <v>548</v>
      </c>
      <c r="F374" s="51" t="s">
        <v>1064</v>
      </c>
      <c r="G374" s="127">
        <f>(ProductMaster_iPST_iPower[[#This Row],[SellPrice (Inc. VAT)]]*100)/107</f>
        <v>0</v>
      </c>
      <c r="H374" s="128">
        <v>0</v>
      </c>
      <c r="I374" s="135" t="e">
        <v>#N/A</v>
      </c>
      <c r="J374" s="51"/>
      <c r="K374" s="51"/>
      <c r="L374" s="132"/>
      <c r="M374" s="51"/>
      <c r="N374" s="51"/>
      <c r="O374" s="51"/>
      <c r="P374" s="51"/>
      <c r="S374" s="51"/>
    </row>
    <row r="375" spans="1:19" hidden="1">
      <c r="A375" s="133"/>
      <c r="B375" s="51" t="s">
        <v>1635</v>
      </c>
      <c r="C375" s="126" t="s">
        <v>1636</v>
      </c>
      <c r="D375" s="51" t="s">
        <v>1637</v>
      </c>
      <c r="E375" s="51" t="s">
        <v>171</v>
      </c>
      <c r="F375" s="51" t="s">
        <v>1064</v>
      </c>
      <c r="G375" s="127">
        <f>(ProductMaster_iPST_iPower[[#This Row],[SellPrice (Inc. VAT)]]*100)/107</f>
        <v>47558.878504672895</v>
      </c>
      <c r="H375" s="128">
        <v>50888</v>
      </c>
      <c r="I375" s="135" t="e">
        <v>#N/A</v>
      </c>
      <c r="J375" s="51"/>
      <c r="K375" s="51"/>
      <c r="L375" s="132"/>
      <c r="M375" s="51"/>
      <c r="N375" s="51"/>
      <c r="O375" s="51"/>
      <c r="P375" s="51"/>
      <c r="S375" s="51"/>
    </row>
    <row r="376" spans="1:19" hidden="1">
      <c r="A376" s="133" t="s">
        <v>1638</v>
      </c>
      <c r="B376" s="51" t="s">
        <v>1639</v>
      </c>
      <c r="C376" s="126" t="s">
        <v>1640</v>
      </c>
      <c r="D376" s="51" t="s">
        <v>1067</v>
      </c>
      <c r="E376" s="51" t="s">
        <v>925</v>
      </c>
      <c r="G376" s="127">
        <f>(ProductMaster_iPST_iPower[[#This Row],[SellPrice (Inc. VAT)]]*100)/107</f>
        <v>925.23364485981313</v>
      </c>
      <c r="H376" s="128">
        <v>990</v>
      </c>
      <c r="I376" s="134" t="s">
        <v>1641</v>
      </c>
      <c r="J376" s="51"/>
      <c r="K376" s="51"/>
      <c r="L376" s="132"/>
      <c r="M376" s="51"/>
      <c r="N376" s="51"/>
      <c r="O376" s="51"/>
      <c r="P376" s="51"/>
      <c r="S376" s="51"/>
    </row>
    <row r="377" spans="1:19" hidden="1">
      <c r="A377" s="133" t="s">
        <v>1642</v>
      </c>
      <c r="B377" s="51" t="s">
        <v>1643</v>
      </c>
      <c r="C377" s="126" t="s">
        <v>1644</v>
      </c>
      <c r="D377" s="51" t="s">
        <v>973</v>
      </c>
      <c r="E377" s="51" t="s">
        <v>925</v>
      </c>
      <c r="G377" s="127">
        <f>(ProductMaster_iPST_iPower[[#This Row],[SellPrice (Inc. VAT)]]*100)/107</f>
        <v>1392.5233644859813</v>
      </c>
      <c r="H377" s="128">
        <v>1490</v>
      </c>
      <c r="I377" s="134" t="s">
        <v>1645</v>
      </c>
      <c r="J377" s="51"/>
      <c r="K377" s="51"/>
      <c r="L377" s="132"/>
      <c r="M377" s="51"/>
      <c r="N377" s="51"/>
      <c r="O377" s="51"/>
      <c r="P377" s="51"/>
      <c r="S377" s="51"/>
    </row>
    <row r="378" spans="1:19" hidden="1">
      <c r="A378" s="133" t="s">
        <v>1646</v>
      </c>
      <c r="B378" s="51" t="s">
        <v>1647</v>
      </c>
      <c r="C378" s="126" t="s">
        <v>1648</v>
      </c>
      <c r="D378" s="51" t="s">
        <v>1271</v>
      </c>
      <c r="E378" s="51" t="s">
        <v>925</v>
      </c>
      <c r="G378" s="127">
        <f>(ProductMaster_iPST_iPower[[#This Row],[SellPrice (Inc. VAT)]]*100)/107</f>
        <v>1766.3551401869158</v>
      </c>
      <c r="H378" s="128">
        <v>1890</v>
      </c>
      <c r="I378" s="134" t="s">
        <v>1649</v>
      </c>
      <c r="J378" s="51"/>
      <c r="K378" s="51"/>
      <c r="L378" s="132"/>
      <c r="M378" s="51"/>
      <c r="N378" s="51"/>
      <c r="O378" s="51"/>
      <c r="P378" s="51"/>
      <c r="S378" s="51"/>
    </row>
    <row r="379" spans="1:19" hidden="1">
      <c r="A379" s="133" t="s">
        <v>1650</v>
      </c>
      <c r="B379" s="51" t="s">
        <v>1651</v>
      </c>
      <c r="C379" s="126" t="s">
        <v>1652</v>
      </c>
      <c r="D379" s="51" t="s">
        <v>1047</v>
      </c>
      <c r="E379" s="51" t="s">
        <v>925</v>
      </c>
      <c r="G379" s="127">
        <f>(ProductMaster_iPST_iPower[[#This Row],[SellPrice (Inc. VAT)]]*100)/107</f>
        <v>6570.0934579439254</v>
      </c>
      <c r="H379" s="128">
        <v>7030</v>
      </c>
      <c r="I379" s="134" t="s">
        <v>1653</v>
      </c>
      <c r="J379" s="51"/>
      <c r="K379" s="51"/>
      <c r="L379" s="132"/>
      <c r="M379" s="51"/>
      <c r="N379" s="51"/>
      <c r="O379" s="51"/>
      <c r="P379" s="51"/>
      <c r="S379" s="51"/>
    </row>
    <row r="380" spans="1:19" hidden="1">
      <c r="A380" s="133" t="s">
        <v>1654</v>
      </c>
      <c r="B380" s="51" t="s">
        <v>1655</v>
      </c>
      <c r="C380" s="126" t="s">
        <v>1656</v>
      </c>
      <c r="D380" s="51" t="s">
        <v>1657</v>
      </c>
      <c r="E380" s="51" t="s">
        <v>925</v>
      </c>
      <c r="G380" s="127">
        <f>(ProductMaster_iPST_iPower[[#This Row],[SellPrice (Inc. VAT)]]*100)/107</f>
        <v>6532.7102803738317</v>
      </c>
      <c r="H380" s="128">
        <v>6990</v>
      </c>
      <c r="I380" s="134" t="s">
        <v>1658</v>
      </c>
      <c r="J380" s="51"/>
      <c r="K380" s="51"/>
      <c r="L380" s="132"/>
      <c r="M380" s="51"/>
      <c r="N380" s="51"/>
      <c r="O380" s="51"/>
      <c r="P380" s="51"/>
      <c r="S380" s="51"/>
    </row>
    <row r="381" spans="1:19" hidden="1">
      <c r="A381" s="133" t="s">
        <v>1659</v>
      </c>
      <c r="B381" s="51" t="s">
        <v>1660</v>
      </c>
      <c r="C381" s="126" t="s">
        <v>1661</v>
      </c>
      <c r="D381" s="51" t="s">
        <v>1616</v>
      </c>
      <c r="E381" s="51" t="s">
        <v>925</v>
      </c>
      <c r="G381" s="127">
        <f>(ProductMaster_iPST_iPower[[#This Row],[SellPrice (Inc. VAT)]]*100)/107</f>
        <v>14112.14953271028</v>
      </c>
      <c r="H381" s="128">
        <v>15100</v>
      </c>
      <c r="I381" s="134" t="s">
        <v>1662</v>
      </c>
      <c r="J381" s="51"/>
      <c r="K381" s="51"/>
      <c r="L381" s="132"/>
      <c r="M381" s="51"/>
      <c r="N381" s="51"/>
      <c r="O381" s="51"/>
      <c r="P381" s="51"/>
      <c r="S381" s="51"/>
    </row>
    <row r="382" spans="1:19" hidden="1">
      <c r="A382" s="133" t="s">
        <v>1663</v>
      </c>
      <c r="B382" s="51" t="s">
        <v>1664</v>
      </c>
      <c r="C382" s="126" t="s">
        <v>1665</v>
      </c>
      <c r="D382" s="51" t="s">
        <v>1098</v>
      </c>
      <c r="E382" s="51" t="s">
        <v>925</v>
      </c>
      <c r="G382" s="127">
        <f>(ProductMaster_iPST_iPower[[#This Row],[SellPrice (Inc. VAT)]]*100)/107</f>
        <v>738.31775700934577</v>
      </c>
      <c r="H382" s="128">
        <v>790</v>
      </c>
      <c r="I382" s="134" t="s">
        <v>1666</v>
      </c>
      <c r="J382" s="51"/>
      <c r="K382" s="51"/>
      <c r="L382" s="132"/>
      <c r="M382" s="51"/>
      <c r="N382" s="51"/>
      <c r="O382" s="51"/>
      <c r="P382" s="51"/>
      <c r="S382" s="51"/>
    </row>
    <row r="383" spans="1:19" hidden="1">
      <c r="A383" s="133" t="s">
        <v>1667</v>
      </c>
      <c r="B383" s="51" t="s">
        <v>1668</v>
      </c>
      <c r="C383" s="126" t="s">
        <v>1669</v>
      </c>
      <c r="D383" s="51" t="s">
        <v>1102</v>
      </c>
      <c r="E383" s="51" t="s">
        <v>925</v>
      </c>
      <c r="G383" s="127">
        <f>(ProductMaster_iPST_iPower[[#This Row],[SellPrice (Inc. VAT)]]*100)/107</f>
        <v>1112.1495327102805</v>
      </c>
      <c r="H383" s="128">
        <v>1190</v>
      </c>
      <c r="I383" s="134" t="s">
        <v>1670</v>
      </c>
      <c r="J383" s="51"/>
      <c r="K383" s="51"/>
      <c r="L383" s="132"/>
      <c r="M383" s="51"/>
      <c r="N383" s="51"/>
      <c r="O383" s="51"/>
      <c r="P383" s="51"/>
      <c r="S383" s="51"/>
    </row>
    <row r="384" spans="1:19" hidden="1">
      <c r="A384" s="133" t="s">
        <v>1671</v>
      </c>
      <c r="B384" s="51" t="s">
        <v>1672</v>
      </c>
      <c r="C384" s="126" t="s">
        <v>1673</v>
      </c>
      <c r="D384" s="51" t="s">
        <v>1227</v>
      </c>
      <c r="E384" s="51" t="s">
        <v>925</v>
      </c>
      <c r="G384" s="127">
        <f>(ProductMaster_iPST_iPower[[#This Row],[SellPrice (Inc. VAT)]]*100)/107</f>
        <v>1485.981308411215</v>
      </c>
      <c r="H384" s="128">
        <v>1590</v>
      </c>
      <c r="I384" s="134" t="s">
        <v>1674</v>
      </c>
      <c r="J384" s="51"/>
      <c r="K384" s="51"/>
      <c r="L384" s="132"/>
      <c r="M384" s="51"/>
      <c r="N384" s="51"/>
      <c r="O384" s="51"/>
      <c r="P384" s="51"/>
      <c r="S384" s="51"/>
    </row>
    <row r="385" spans="1:19" hidden="1">
      <c r="A385" s="133" t="s">
        <v>1675</v>
      </c>
      <c r="B385" s="51" t="s">
        <v>1676</v>
      </c>
      <c r="C385" s="126" t="s">
        <v>1677</v>
      </c>
      <c r="D385" s="51" t="s">
        <v>1283</v>
      </c>
      <c r="E385" s="51" t="s">
        <v>925</v>
      </c>
      <c r="G385" s="127">
        <f>(ProductMaster_iPST_iPower[[#This Row],[SellPrice (Inc. VAT)]]*100)/107</f>
        <v>1859.8130841121495</v>
      </c>
      <c r="H385" s="128">
        <v>1990</v>
      </c>
      <c r="I385" s="134" t="s">
        <v>1678</v>
      </c>
      <c r="J385" s="51"/>
      <c r="K385" s="51"/>
      <c r="L385" s="132"/>
      <c r="M385" s="51"/>
      <c r="N385" s="51"/>
      <c r="O385" s="51"/>
      <c r="P385" s="51"/>
      <c r="S385" s="51"/>
    </row>
    <row r="386" spans="1:19" hidden="1">
      <c r="A386" s="133" t="s">
        <v>1679</v>
      </c>
      <c r="B386" s="51" t="s">
        <v>1680</v>
      </c>
      <c r="C386" s="126" t="s">
        <v>1681</v>
      </c>
      <c r="D386" s="51" t="s">
        <v>1515</v>
      </c>
      <c r="E386" s="51" t="s">
        <v>925</v>
      </c>
      <c r="G386" s="127">
        <f>(ProductMaster_iPST_iPower[[#This Row],[SellPrice (Inc. VAT)]]*100)/107</f>
        <v>1766.3551401869158</v>
      </c>
      <c r="H386" s="128">
        <v>1890</v>
      </c>
      <c r="I386" s="134" t="s">
        <v>1682</v>
      </c>
      <c r="J386" s="51"/>
      <c r="K386" s="51"/>
      <c r="L386" s="132"/>
      <c r="M386" s="51"/>
      <c r="N386" s="51"/>
      <c r="O386" s="51"/>
      <c r="P386" s="51"/>
      <c r="S386" s="51"/>
    </row>
    <row r="387" spans="1:19" hidden="1">
      <c r="A387" s="133" t="s">
        <v>1683</v>
      </c>
      <c r="B387" s="51" t="s">
        <v>1684</v>
      </c>
      <c r="C387" s="126" t="s">
        <v>1685</v>
      </c>
      <c r="D387" s="51" t="s">
        <v>1519</v>
      </c>
      <c r="E387" s="51" t="s">
        <v>925</v>
      </c>
      <c r="G387" s="127">
        <f>(ProductMaster_iPST_iPower[[#This Row],[SellPrice (Inc. VAT)]]*100)/107</f>
        <v>3542.0560747663553</v>
      </c>
      <c r="H387" s="128">
        <v>3790</v>
      </c>
      <c r="I387" s="134" t="s">
        <v>1686</v>
      </c>
      <c r="J387" s="51"/>
      <c r="K387" s="51"/>
      <c r="L387" s="132"/>
      <c r="M387" s="51"/>
      <c r="N387" s="51"/>
      <c r="O387" s="51"/>
      <c r="P387" s="51"/>
      <c r="S387" s="51"/>
    </row>
    <row r="388" spans="1:19" hidden="1">
      <c r="A388" s="133" t="s">
        <v>1687</v>
      </c>
      <c r="B388" s="51" t="s">
        <v>1688</v>
      </c>
      <c r="C388" s="126" t="s">
        <v>1689</v>
      </c>
      <c r="D388" s="51" t="s">
        <v>1511</v>
      </c>
      <c r="E388" s="51" t="s">
        <v>925</v>
      </c>
      <c r="G388" s="127">
        <f>(ProductMaster_iPST_iPower[[#This Row],[SellPrice (Inc. VAT)]]*100)/107</f>
        <v>5224.2990654205605</v>
      </c>
      <c r="H388" s="128">
        <v>5590</v>
      </c>
      <c r="I388" s="134" t="s">
        <v>1690</v>
      </c>
      <c r="J388" s="51"/>
      <c r="K388" s="51"/>
      <c r="L388" s="132"/>
      <c r="M388" s="51"/>
      <c r="N388" s="51"/>
      <c r="O388" s="51"/>
      <c r="P388" s="51"/>
      <c r="S388" s="51"/>
    </row>
    <row r="389" spans="1:19" hidden="1">
      <c r="A389" s="133" t="s">
        <v>1691</v>
      </c>
      <c r="B389" s="51" t="s">
        <v>1692</v>
      </c>
      <c r="C389" s="126" t="s">
        <v>1693</v>
      </c>
      <c r="D389" s="51" t="s">
        <v>1051</v>
      </c>
      <c r="E389" s="51" t="s">
        <v>925</v>
      </c>
      <c r="G389" s="127">
        <f>(ProductMaster_iPST_iPower[[#This Row],[SellPrice (Inc. VAT)]]*100)/107</f>
        <v>5502.8037383177571</v>
      </c>
      <c r="H389" s="128">
        <v>5888</v>
      </c>
      <c r="I389" s="134" t="s">
        <v>1694</v>
      </c>
      <c r="J389" s="51"/>
      <c r="K389" s="51"/>
      <c r="L389" s="132"/>
      <c r="M389" s="51"/>
      <c r="N389" s="51"/>
      <c r="O389" s="51"/>
      <c r="P389" s="51"/>
      <c r="S389" s="51"/>
    </row>
    <row r="390" spans="1:19" hidden="1">
      <c r="A390" s="133" t="s">
        <v>1695</v>
      </c>
      <c r="B390" s="51" t="s">
        <v>1696</v>
      </c>
      <c r="C390" s="126" t="s">
        <v>1697</v>
      </c>
      <c r="D390" s="51" t="s">
        <v>997</v>
      </c>
      <c r="E390" s="51" t="s">
        <v>925</v>
      </c>
      <c r="G390" s="127">
        <f>(ProductMaster_iPST_iPower[[#This Row],[SellPrice (Inc. VAT)]]*100)/107</f>
        <v>11112.14953271028</v>
      </c>
      <c r="H390" s="128">
        <v>11890</v>
      </c>
      <c r="I390" s="134" t="s">
        <v>1698</v>
      </c>
      <c r="J390" s="51"/>
      <c r="K390" s="51"/>
      <c r="L390" s="132"/>
      <c r="M390" s="51"/>
      <c r="N390" s="51"/>
      <c r="O390" s="51"/>
      <c r="P390" s="51"/>
      <c r="S390" s="51"/>
    </row>
    <row r="391" spans="1:19" hidden="1">
      <c r="A391" s="133" t="s">
        <v>1699</v>
      </c>
      <c r="B391" s="51" t="s">
        <v>1700</v>
      </c>
      <c r="C391" s="126" t="s">
        <v>1701</v>
      </c>
      <c r="D391" s="51" t="s">
        <v>1624</v>
      </c>
      <c r="E391" s="51" t="s">
        <v>925</v>
      </c>
      <c r="G391" s="127">
        <f>(ProductMaster_iPST_iPower[[#This Row],[SellPrice (Inc. VAT)]]*100)/107</f>
        <v>17654.205607476637</v>
      </c>
      <c r="H391" s="128">
        <v>18890</v>
      </c>
      <c r="I391" s="134" t="s">
        <v>1702</v>
      </c>
      <c r="J391" s="51"/>
      <c r="K391" s="51"/>
      <c r="L391" s="132"/>
      <c r="M391" s="51"/>
      <c r="N391" s="51"/>
      <c r="O391" s="51"/>
      <c r="P391" s="51"/>
      <c r="S391" s="51"/>
    </row>
    <row r="392" spans="1:19" hidden="1">
      <c r="A392" s="133" t="s">
        <v>1703</v>
      </c>
      <c r="B392" s="51" t="s">
        <v>1704</v>
      </c>
      <c r="C392" s="126" t="s">
        <v>1705</v>
      </c>
      <c r="D392" s="51" t="s">
        <v>1608</v>
      </c>
      <c r="E392" s="51" t="s">
        <v>925</v>
      </c>
      <c r="G392" s="127">
        <f>(ProductMaster_iPST_iPower[[#This Row],[SellPrice (Inc. VAT)]]*100)/107</f>
        <v>40542.056074766355</v>
      </c>
      <c r="H392" s="128">
        <v>43380</v>
      </c>
      <c r="I392" s="134" t="s">
        <v>1706</v>
      </c>
      <c r="J392" s="51"/>
      <c r="K392" s="51"/>
      <c r="L392" s="132"/>
      <c r="M392" s="51"/>
      <c r="N392" s="51"/>
      <c r="O392" s="51"/>
      <c r="P392" s="51"/>
      <c r="S392" s="51"/>
    </row>
    <row r="393" spans="1:19" hidden="1">
      <c r="A393" s="143">
        <v>4892210240033</v>
      </c>
      <c r="B393" s="144" t="s">
        <v>1824</v>
      </c>
      <c r="C393" s="145" t="s">
        <v>1825</v>
      </c>
      <c r="D393" s="144" t="s">
        <v>1830</v>
      </c>
      <c r="E393" s="144" t="s">
        <v>925</v>
      </c>
      <c r="F393" s="144"/>
      <c r="G393" s="147">
        <f>(ProductMaster_iPST_iPower[[#This Row],[SellPrice (Inc. VAT)]]*100)/107</f>
        <v>17652.336448598129</v>
      </c>
      <c r="H393" s="146">
        <v>18888</v>
      </c>
      <c r="I393" s="137"/>
      <c r="J393" s="51"/>
      <c r="K393" s="51"/>
      <c r="L393" s="138"/>
      <c r="M393" s="51"/>
      <c r="N393" s="51"/>
      <c r="O393" s="51"/>
      <c r="P393" s="51"/>
      <c r="S393" s="51"/>
    </row>
    <row r="394" spans="1:19" hidden="1">
      <c r="A394" s="143">
        <v>4892210240026</v>
      </c>
      <c r="B394" s="144" t="s">
        <v>1826</v>
      </c>
      <c r="C394" s="145" t="s">
        <v>1827</v>
      </c>
      <c r="D394" s="144" t="s">
        <v>1831</v>
      </c>
      <c r="E394" s="144" t="s">
        <v>925</v>
      </c>
      <c r="F394" s="144"/>
      <c r="G394" s="147">
        <f>(ProductMaster_iPST_iPower[[#This Row],[SellPrice (Inc. VAT)]]*100)/107</f>
        <v>17652.336448598129</v>
      </c>
      <c r="H394" s="146">
        <v>18888</v>
      </c>
      <c r="I394" s="142"/>
    </row>
    <row r="395" spans="1:19" hidden="1">
      <c r="A395" s="143">
        <v>4058546226626</v>
      </c>
      <c r="B395" s="145">
        <v>129305405</v>
      </c>
      <c r="C395" s="145">
        <v>4932464717</v>
      </c>
      <c r="D395" s="144" t="s">
        <v>1832</v>
      </c>
      <c r="E395" s="144" t="s">
        <v>171</v>
      </c>
      <c r="F395" s="144"/>
      <c r="G395" s="147">
        <f>(ProductMaster_iPST_iPower[[#This Row],[SellPrice (Inc. VAT)]]*100)/107</f>
        <v>371.96261682242988</v>
      </c>
      <c r="H395" s="146">
        <v>398</v>
      </c>
      <c r="I395" s="142"/>
    </row>
    <row r="396" spans="1:19" hidden="1">
      <c r="A396" s="143">
        <v>4058546226602</v>
      </c>
      <c r="B396" s="145">
        <v>129305403</v>
      </c>
      <c r="C396" s="145">
        <v>4932464715</v>
      </c>
      <c r="D396" s="144" t="s">
        <v>1833</v>
      </c>
      <c r="E396" s="144" t="s">
        <v>171</v>
      </c>
      <c r="F396" s="144"/>
      <c r="G396" s="147">
        <f>(ProductMaster_iPST_iPower[[#This Row],[SellPrice (Inc. VAT)]]*100)/107</f>
        <v>633.64485981308417</v>
      </c>
      <c r="H396" s="146">
        <v>678</v>
      </c>
      <c r="I396" s="142"/>
    </row>
    <row r="397" spans="1:19" hidden="1">
      <c r="A397" s="143">
        <v>4892210237354</v>
      </c>
      <c r="B397" s="144" t="s">
        <v>1828</v>
      </c>
      <c r="C397" s="145" t="s">
        <v>1829</v>
      </c>
      <c r="D397" s="144" t="s">
        <v>1834</v>
      </c>
      <c r="E397" s="144" t="s">
        <v>925</v>
      </c>
      <c r="F397" s="144"/>
      <c r="G397" s="147">
        <f>(ProductMaster_iPST_iPower[[#This Row],[SellPrice (Inc. VAT)]]*100)/107</f>
        <v>2418.6915887850469</v>
      </c>
      <c r="H397" s="146">
        <v>2588</v>
      </c>
      <c r="I397" s="142"/>
    </row>
    <row r="398" spans="1:19" hidden="1">
      <c r="A398" s="125" t="s">
        <v>1925</v>
      </c>
      <c r="B398" s="125" t="s">
        <v>1925</v>
      </c>
      <c r="C398" s="125" t="s">
        <v>1925</v>
      </c>
      <c r="D398" s="51" t="s">
        <v>1926</v>
      </c>
      <c r="E398" s="51" t="s">
        <v>171</v>
      </c>
      <c r="G398" s="127">
        <f>(ProductMaster_iPST_iPower[[#This Row],[SellPrice (Inc. VAT)]]*100)/107</f>
        <v>100.93457943925233</v>
      </c>
      <c r="H398" s="128">
        <f>216/2</f>
        <v>108</v>
      </c>
      <c r="I398" s="142">
        <f>L398</f>
        <v>0</v>
      </c>
    </row>
    <row r="399" spans="1:19" hidden="1">
      <c r="A399" s="126" t="s">
        <v>1942</v>
      </c>
      <c r="B399" s="126" t="s">
        <v>1942</v>
      </c>
      <c r="C399" s="126" t="s">
        <v>1942</v>
      </c>
      <c r="D399" s="51" t="s">
        <v>1943</v>
      </c>
      <c r="E399" s="51" t="s">
        <v>720</v>
      </c>
      <c r="G399" s="127">
        <f>(ProductMaster_iPST_iPower[[#This Row],[SellPrice (Inc. VAT)]]*100)/107</f>
        <v>549.53271028037386</v>
      </c>
      <c r="H399" s="128">
        <v>588</v>
      </c>
      <c r="I399" s="142">
        <f>L399</f>
        <v>0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0CFA-5E61-481E-A21E-71D7D45B7DC2}">
  <dimension ref="A1:E7"/>
  <sheetViews>
    <sheetView workbookViewId="0">
      <selection activeCell="A8" sqref="A8"/>
    </sheetView>
  </sheetViews>
  <sheetFormatPr defaultColWidth="9" defaultRowHeight="14.25"/>
  <cols>
    <col min="1" max="1" width="13.5" style="5" customWidth="1"/>
    <col min="2" max="4" width="9" style="5"/>
    <col min="5" max="5" width="13" style="5" bestFit="1" customWidth="1"/>
    <col min="6" max="16384" width="9" style="5"/>
  </cols>
  <sheetData>
    <row r="1" spans="1:5" ht="15">
      <c r="A1" s="5" t="s">
        <v>1707</v>
      </c>
      <c r="C1" s="5" t="s">
        <v>1708</v>
      </c>
      <c r="E1" s="50" t="s">
        <v>121</v>
      </c>
    </row>
    <row r="2" spans="1:5">
      <c r="A2" s="5" t="s">
        <v>125</v>
      </c>
      <c r="C2" s="5" t="s">
        <v>124</v>
      </c>
      <c r="E2" s="5" t="s">
        <v>1709</v>
      </c>
    </row>
    <row r="3" spans="1:5">
      <c r="A3" s="5" t="s">
        <v>127</v>
      </c>
      <c r="C3" s="5" t="s">
        <v>126</v>
      </c>
      <c r="E3" s="5" t="s">
        <v>129</v>
      </c>
    </row>
    <row r="4" spans="1:5">
      <c r="A4" s="5" t="s">
        <v>123</v>
      </c>
      <c r="C4" s="5" t="s">
        <v>128</v>
      </c>
    </row>
    <row r="5" spans="1:5">
      <c r="A5" s="5" t="s">
        <v>1710</v>
      </c>
      <c r="C5" s="5" t="s">
        <v>1711</v>
      </c>
    </row>
    <row r="6" spans="1:5">
      <c r="A6" s="5" t="s">
        <v>1712</v>
      </c>
    </row>
    <row r="7" spans="1:5">
      <c r="A7" s="5" t="s">
        <v>1717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7B4D3-6822-47D8-B11A-8FDD7C6367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3</vt:i4>
      </vt:variant>
    </vt:vector>
  </HeadingPairs>
  <TitlesOfParts>
    <vt:vector size="9" baseType="lpstr">
      <vt:lpstr>Data_CN</vt:lpstr>
      <vt:lpstr>Cus</vt:lpstr>
      <vt:lpstr>Bill</vt:lpstr>
      <vt:lpstr>Data</vt:lpstr>
      <vt:lpstr>ProductMaster</vt:lpstr>
      <vt:lpstr>OtherMaster</vt:lpstr>
      <vt:lpstr>Bill!Print_Area</vt:lpstr>
      <vt:lpstr>ReceiveType</vt:lpstr>
      <vt:lpstr>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Jakkrit Sueakhonburee</cp:lastModifiedBy>
  <cp:revision>1</cp:revision>
  <cp:lastPrinted>2024-05-05T12:54:41Z</cp:lastPrinted>
  <dcterms:created xsi:type="dcterms:W3CDTF">2020-08-03T17:59:26Z</dcterms:created>
  <dcterms:modified xsi:type="dcterms:W3CDTF">2025-03-15T04:31:59Z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